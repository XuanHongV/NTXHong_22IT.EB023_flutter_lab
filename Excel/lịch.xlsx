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13_ncr:1_{67391D7C-3942-4088-84A8-E9EB0462B61F}" xr6:coauthVersionLast="47" xr6:coauthVersionMax="47" xr10:uidLastSave="{00000000-0000-0000-0000-000000000000}"/>
  <bookViews>
    <workbookView xWindow="-108" yWindow="-108" windowWidth="23256" windowHeight="12456" xr2:uid="{00000000-000D-0000-FFFF-FFFF00000000}"/>
  </bookViews>
  <sheets>
    <sheet name="Dạng xem theo Lịch biểu Lớp" sheetId="2" r:id="rId1"/>
    <sheet name="Danh sách lớp học" sheetId="1" r:id="rId2"/>
  </sheets>
  <definedNames>
    <definedName name="_xlnm._FilterDatabase" localSheetId="0" hidden="1">'Dạng xem theo Lịch biểu Lớp'!$B$3:$I$14</definedName>
    <definedName name="BẮT_ĐẦU_LỊCH_BIỂU">'Dạng xem theo Lịch biểu Lớp'!$H$2</definedName>
    <definedName name="LastRow">MAX(MATCH(9.99E+307,'Dạng xem theo Lịch biểu Lớp'!$B:$B),MATCH(REPT("z",255),'Dạng xem theo Lịch biểu Lớp'!$B:$B))</definedName>
    <definedName name="MinuteInterval">--LEFT(MinuteText,2)</definedName>
    <definedName name="MinuteText">'Dạng xem theo Lịch biểu Lớp'!$I$2</definedName>
    <definedName name="_xlnm.Print_Titles" localSheetId="0">'Dạng xem theo Lịch biểu Lớp'!$3:$3</definedName>
    <definedName name="_xlnm.Print_Titles" localSheetId="1">'Danh sách lớp học'!$2:$2</definedName>
    <definedName name="TăngDần">TIME(0,MinuteInterval,0)</definedName>
    <definedName name="ThisCol">'Dạng xem theo Lịch biểu Lớp'!A$4:INDEX('Dạng xem theo Lịch biểu Lớp'!A:A,LastRow,1)</definedName>
    <definedName name="ThisRow">'Dạng xem theo Lịch biểu Lớp'!$C1:$J1</definedName>
    <definedName name="ThisWeekday">CHOOSE(WEEKDAY(TODAY()),"CHỦ NHẬT","THỨ HAI","THỨ BA","THỨ TƯ","THỨ NĂM","THỨ SÁU","THỨ BẢY")</definedName>
    <definedName name="Thời_gian_hiện_tại">TIME(HOUR(NOW()),MINUTE(NOW()),SECOND(NOW()))</definedName>
    <definedName name="Thời_gian_kết_thúc_lịch">0.999305555555556</definedName>
    <definedName name="ThờiGian">Dạng_xem_theo_Lịch_biểu_Lớp[TIẾT]</definedName>
    <definedName name="Tiêu_đề_1">Dạng_xem_theo_Lịch_biểu_Lớp[[#Headers],[TIẾT]]</definedName>
    <definedName name="Tiêu_đề_Cột_2">Danh_sách_lớp_học[[#Headers],[LỚP]]</definedName>
    <definedName name="Vùng_tiêu_đề_cột..H2.1">'Dạng xem theo Lịch biểu Lớp'!$H$1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4" i="2" l="1"/>
  <c r="C14" i="2" s="1"/>
  <c r="I14" i="2" l="1"/>
  <c r="H14" i="2"/>
  <c r="E14" i="2"/>
  <c r="D14" i="2"/>
  <c r="H10" i="1"/>
  <c r="H9" i="1" l="1"/>
  <c r="H3" i="1" l="1"/>
  <c r="H4" i="1"/>
  <c r="H5" i="1"/>
  <c r="H6" i="1"/>
  <c r="H7" i="1"/>
  <c r="H8" i="1"/>
  <c r="I4" i="2" l="1"/>
  <c r="I5" i="2"/>
  <c r="I6" i="2" l="1"/>
  <c r="I7" i="2" l="1"/>
  <c r="C10" i="2" l="1"/>
  <c r="C11" i="2" l="1"/>
  <c r="C12" i="2" l="1"/>
  <c r="C13" i="2" l="1"/>
</calcChain>
</file>

<file path=xl/sharedStrings.xml><?xml version="1.0" encoding="utf-8"?>
<sst xmlns="http://schemas.openxmlformats.org/spreadsheetml/2006/main" count="83" uniqueCount="50">
  <si>
    <t>DẠNG XEM THEO LỊCH BIỂU LỚP</t>
  </si>
  <si>
    <t>CHỦ NHẬT</t>
  </si>
  <si>
    <t>THỨ HAI</t>
  </si>
  <si>
    <t>THỨ BA</t>
  </si>
  <si>
    <t>THỨ TƯ</t>
  </si>
  <si>
    <t>BẮT ĐẦU LỊCH BIỂU</t>
  </si>
  <si>
    <t>THỨ NĂM</t>
  </si>
  <si>
    <t>KHOẢNG THỜI GIAN</t>
  </si>
  <si>
    <t>15 PHÚT</t>
  </si>
  <si>
    <t>THỨ SÁU</t>
  </si>
  <si>
    <t>THỨ BẢY</t>
  </si>
  <si>
    <t>LỚP</t>
  </si>
  <si>
    <t>Viết tài liệu Kỹ thuật</t>
  </si>
  <si>
    <t>Nói trước Đám đông</t>
  </si>
  <si>
    <t>Sức khỏe &amp; Thể dục</t>
  </si>
  <si>
    <t>Đại số</t>
  </si>
  <si>
    <t>ID</t>
  </si>
  <si>
    <t>WR-121</t>
  </si>
  <si>
    <t>SP-111</t>
  </si>
  <si>
    <t>HPE-295</t>
  </si>
  <si>
    <t>MTH-113</t>
  </si>
  <si>
    <t>NGÀY</t>
  </si>
  <si>
    <t>ĐỊA ĐIỂM</t>
  </si>
  <si>
    <t>Tòa nhà A</t>
  </si>
  <si>
    <t>Tòa nhà B</t>
  </si>
  <si>
    <t>Tòa nhà C</t>
  </si>
  <si>
    <t>THỜI GIAN BẮT ĐẦU</t>
  </si>
  <si>
    <t>Dạng xem theo Lịch biểu Lớp</t>
  </si>
  <si>
    <t>THỜI GIAN KẾT THÚC</t>
  </si>
  <si>
    <t>DUY NHẤT</t>
  </si>
  <si>
    <t>Danh sách lớp học</t>
  </si>
  <si>
    <t>DANH SÁCH LỚP HỌC</t>
  </si>
  <si>
    <t>TƯ TƯỞNG HCM</t>
  </si>
  <si>
    <t>KT CHÍNH TRỊ</t>
  </si>
  <si>
    <t>DBCL&amp;KT</t>
  </si>
  <si>
    <t>HỌC MÁY</t>
  </si>
  <si>
    <t>CHUYÊN ĐỀ</t>
  </si>
  <si>
    <t>TIẾT</t>
  </si>
  <si>
    <t>TIẾT 1</t>
  </si>
  <si>
    <t>TIẾT 6</t>
  </si>
  <si>
    <t>TIẾT 8</t>
  </si>
  <si>
    <t>TIẾT 5</t>
  </si>
  <si>
    <t>TIẾT 2</t>
  </si>
  <si>
    <t>TIẾT 3</t>
  </si>
  <si>
    <t>TIẾT 4</t>
  </si>
  <si>
    <t>TIẾT 7</t>
  </si>
  <si>
    <t>TIẾT 9</t>
  </si>
  <si>
    <t>THỨ NĂM</t>
  </si>
  <si>
    <t>GDTC</t>
  </si>
  <si>
    <t>Đa nền tảng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</si>
</sst>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00000]h:mm;@"/>
  </numFmts>
  <fonts count="9" x14ac:knownFonts="1">
    <font>
      <sz val="11"/>
      <color theme="1" tint="0.34998626667073579"/>
      <name val="Arial"/>
      <family val="2"/>
      <scheme val="minor"/>
    </font>
    <font>
      <b/>
      <sz val="26"/>
      <color theme="0"/>
      <name val="Arial"/>
      <family val="2"/>
      <scheme val="major"/>
    </font>
    <font>
      <sz val="14"/>
      <color theme="5" tint="0.79998168889431442"/>
      <name val="Arial"/>
      <family val="2"/>
      <scheme val="major"/>
    </font>
    <font>
      <sz val="11"/>
      <color theme="1" tint="0.34998626667073579"/>
      <name val="Arial"/>
      <family val="2"/>
      <scheme val="minor"/>
    </font>
    <font>
      <b/>
      <sz val="11"/>
      <color theme="0"/>
      <name val="Arial"/>
      <family val="2"/>
      <scheme val="major"/>
    </font>
    <font>
      <b/>
      <u/>
      <sz val="11"/>
      <color theme="5" tint="0.79998168889431442"/>
      <name val="Arial"/>
      <family val="2"/>
      <scheme val="minor"/>
    </font>
    <font>
      <b/>
      <sz val="12"/>
      <color theme="5" tint="0.79976805932798245"/>
      <name val="Arial"/>
      <family val="2"/>
      <scheme val="minor"/>
    </font>
    <font>
      <b/>
      <sz val="11"/>
      <color theme="1" tint="0.34998626667073579"/>
      <name val="Arial"/>
      <family val="2"/>
      <charset val="163"/>
      <scheme val="minor"/>
    </font>
    <font>
      <b/>
      <sz val="11"/>
      <color theme="0"/>
      <name val="Arial"/>
      <family val="2"/>
      <charset val="163"/>
      <scheme val="major"/>
    </font>
  </fonts>
  <fills count="4">
    <fill>
      <patternFill patternType="none"/>
    </fill>
    <fill>
      <patternFill patternType="gray125"/>
    </fill>
    <fill>
      <patternFill patternType="solid">
        <fgColor theme="1" tint="0.24994659260841701"/>
        <bgColor indexed="64"/>
      </patternFill>
    </fill>
    <fill>
      <patternFill patternType="solid">
        <fgColor theme="1"/>
        <bgColor indexed="64"/>
      </patternFill>
    </fill>
  </fills>
  <borders count="4">
    <border>
      <left/>
      <right/>
      <top/>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s>
  <cellStyleXfs count="9">
    <xf numFmtId="0" fontId="0" fillId="0" borderId="0"/>
    <xf numFmtId="0" fontId="1" fillId="2" borderId="1" applyNumberFormat="0" applyProtection="0">
      <alignment horizontal="left" vertical="center" indent="1"/>
    </xf>
    <xf numFmtId="0" fontId="4" fillId="2" borderId="0" applyNumberFormat="0" applyBorder="0" applyProtection="0">
      <alignment horizontal="center" vertical="center"/>
    </xf>
    <xf numFmtId="0" fontId="4" fillId="2" borderId="2" applyProtection="0">
      <alignment horizontal="center"/>
    </xf>
    <xf numFmtId="20" fontId="2" fillId="2" borderId="2" applyAlignment="0" applyProtection="0"/>
    <xf numFmtId="164" fontId="3" fillId="0" borderId="0">
      <alignment horizontal="center" vertical="center"/>
    </xf>
    <xf numFmtId="0" fontId="3" fillId="0" borderId="0">
      <alignment horizontal="center" vertical="center" wrapText="1"/>
    </xf>
    <xf numFmtId="0" fontId="6" fillId="2" borderId="2" applyNumberFormat="0" applyProtection="0">
      <alignment horizontal="right" vertical="center" indent="1"/>
    </xf>
    <xf numFmtId="0" fontId="5" fillId="0" borderId="0" applyNumberFormat="0" applyFill="0" applyBorder="0" applyAlignment="0" applyProtection="0"/>
  </cellStyleXfs>
  <cellXfs count="15">
    <xf numFmtId="0" fontId="0" fillId="0" borderId="0" xfId="0"/>
    <xf numFmtId="0" fontId="0" fillId="0" borderId="0" xfId="0" applyAlignment="1">
      <alignment horizontal="left" vertical="center"/>
    </xf>
    <xf numFmtId="0" fontId="0" fillId="0" borderId="0" xfId="0" applyAlignment="1">
      <alignment horizontal="center" vertical="center"/>
    </xf>
    <xf numFmtId="0" fontId="4" fillId="2" borderId="2" xfId="3" applyAlignment="1">
      <alignment horizontal="center" vertical="center"/>
    </xf>
    <xf numFmtId="164" fontId="3" fillId="0" borderId="0" xfId="5">
      <alignment horizontal="center" vertical="center"/>
    </xf>
    <xf numFmtId="0" fontId="4" fillId="2" borderId="2" xfId="3">
      <alignment horizontal="center"/>
    </xf>
    <xf numFmtId="20" fontId="2" fillId="2" borderId="2" xfId="4" applyAlignment="1" applyProtection="1">
      <alignment horizontal="center" vertical="top"/>
      <protection locked="0"/>
    </xf>
    <xf numFmtId="0" fontId="3" fillId="0" borderId="0" xfId="6">
      <alignment horizontal="center" vertical="center" wrapText="1"/>
    </xf>
    <xf numFmtId="0" fontId="4" fillId="2" borderId="2" xfId="2" applyBorder="1">
      <alignment horizontal="center" vertical="center"/>
    </xf>
    <xf numFmtId="0" fontId="7" fillId="0" borderId="0" xfId="6" applyFont="1">
      <alignment horizontal="center" vertical="center" wrapText="1"/>
    </xf>
    <xf numFmtId="0" fontId="8" fillId="2" borderId="0" xfId="2" applyFont="1">
      <alignment horizontal="center" vertical="center"/>
    </xf>
    <xf numFmtId="164" fontId="7" fillId="3" borderId="0" xfId="5" applyFont="1" applyFill="1">
      <alignment horizontal="center" vertical="center"/>
    </xf>
    <xf numFmtId="0" fontId="1" fillId="2" borderId="0" xfId="1" applyBorder="1">
      <alignment horizontal="left" vertical="center" indent="1"/>
    </xf>
    <xf numFmtId="0" fontId="6" fillId="2" borderId="3" xfId="7" applyBorder="1" applyAlignment="1">
      <alignment horizontal="right" vertical="center" indent="2"/>
    </xf>
    <xf numFmtId="0" fontId="6" fillId="2" borderId="2" xfId="7">
      <alignment horizontal="right" vertical="center" indent="1"/>
    </xf>
  </cellXfs>
  <cellStyles count="9">
    <cellStyle name="Bình thường" xfId="0" builtinId="0" customBuiltin="1"/>
    <cellStyle name="Chi_tiết_bảng" xfId="6" xr:uid="{00000000-0005-0000-0000-000007000000}"/>
    <cellStyle name="Đầu đề 1" xfId="1" builtinId="16" customBuiltin="1"/>
    <cellStyle name="Đầu đề 2" xfId="3" builtinId="17" customBuiltin="1"/>
    <cellStyle name="Đầu đề 3" xfId="4" builtinId="18" customBuiltin="1"/>
    <cellStyle name="Đầu đề 4" xfId="2" builtinId="19" customBuiltin="1"/>
    <cellStyle name="Siêu kết nối" xfId="7" builtinId="8" customBuiltin="1"/>
    <cellStyle name="Siêu kết nối đã Bấm vào" xfId="8" builtinId="9" customBuiltin="1"/>
    <cellStyle name="Thời gian" xfId="5" xr:uid="{00000000-0005-0000-0000-000008000000}"/>
  </cellStyles>
  <dxfs count="314">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b/>
        <i val="0"/>
        <color theme="0"/>
      </font>
      <fill>
        <patternFill>
          <bgColor theme="5" tint="-0.499984740745262"/>
        </patternFill>
      </fill>
    </dxf>
    <dxf>
      <font>
        <b/>
        <i val="0"/>
        <color theme="0"/>
      </font>
      <fill>
        <patternFill>
          <bgColor theme="5" tint="-0.499984740745262"/>
        </patternFill>
      </fill>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0"/>
      </font>
    </dxf>
    <dxf>
      <font>
        <color theme="5" tint="0.79998168889431442"/>
      </font>
      <fill>
        <patternFill>
          <bgColor theme="5" tint="0.79998168889431442"/>
        </patternFill>
      </fill>
    </dxf>
    <dxf>
      <font>
        <b val="0"/>
        <i val="0"/>
        <color theme="2" tint="-0.89996032593768116"/>
      </font>
      <fill>
        <patternFill>
          <bgColor theme="2" tint="-9.9948118533890809E-2"/>
        </patternFill>
      </fill>
      <border>
        <left/>
        <right/>
        <top/>
        <bottom/>
      </border>
    </dxf>
    <dxf>
      <font>
        <color theme="2" tint="-9.9948118533890809E-2"/>
      </font>
      <fill>
        <patternFill>
          <bgColor theme="2" tint="-9.9948118533890809E-2"/>
        </patternFill>
      </fill>
      <border>
        <left/>
        <right/>
        <top/>
        <bottom/>
        <vertical/>
        <horizontal/>
      </border>
    </dxf>
    <dxf>
      <font>
        <b/>
        <i val="0"/>
        <color theme="0"/>
      </font>
      <fill>
        <patternFill>
          <bgColor theme="5" tint="-0.499984740745262"/>
        </patternFill>
      </fill>
      <border>
        <left/>
        <right/>
        <top/>
        <bottom/>
      </border>
    </dxf>
    <dxf>
      <font>
        <color theme="5" tint="-0.499984740745262"/>
      </font>
      <fill>
        <patternFill>
          <bgColor theme="5" tint="-0.499984740745262"/>
        </patternFill>
      </fill>
      <border>
        <left/>
        <right/>
        <top/>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b/>
        <i val="0"/>
        <color theme="0"/>
      </font>
      <fill>
        <patternFill>
          <bgColor theme="5" tint="-0.499984740745262"/>
        </patternFill>
      </fill>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font>
        <color theme="1" tint="0.34998626667073579"/>
      </font>
      <border>
        <left/>
        <right/>
        <top/>
        <bottom/>
        <vertical/>
        <horizontal/>
      </border>
    </dxf>
    <dxf>
      <font>
        <color theme="0"/>
      </font>
      <fill>
        <patternFill>
          <bgColor theme="0"/>
        </patternFill>
      </fill>
      <border>
        <left/>
        <right/>
        <top/>
        <bottom/>
        <vertical/>
        <horizontal/>
      </border>
    </dxf>
    <dxf>
      <font>
        <color theme="2" tint="-0.499984740745262"/>
      </font>
    </dxf>
    <dxf>
      <font>
        <color theme="1" tint="0.34998626667073579"/>
      </font>
      <fill>
        <patternFill patternType="none">
          <bgColor auto="1"/>
        </patternFill>
      </fill>
      <border>
        <top style="thin">
          <color theme="1" tint="0.34998626667073579"/>
        </top>
        <bottom style="thin">
          <color theme="1" tint="0.34998626667073579"/>
        </bottom>
        <vertical/>
        <horizontal/>
      </border>
    </dxf>
    <dxf>
      <font>
        <b/>
        <i val="0"/>
        <color theme="5" tint="-0.499984740745262"/>
      </font>
      <fill>
        <patternFill>
          <bgColor theme="6" tint="0.79998168889431442"/>
        </patternFill>
      </fill>
      <border>
        <top style="thin">
          <color theme="5"/>
        </top>
        <bottom style="thin">
          <color theme="5"/>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tint="0.34998626667073579"/>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tint="0.34998626667073579"/>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tint="0.34998626667073579"/>
        <name val="Arial"/>
        <family val="2"/>
        <scheme val="minor"/>
      </font>
      <alignment horizontal="center" vertical="center"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1"/>
        <color theme="1" tint="0.34998626667073579"/>
        <name val="Arial"/>
        <family val="2"/>
        <charset val="163"/>
        <scheme val="minor"/>
      </font>
    </dxf>
    <dxf>
      <numFmt numFmtId="0" formatCode="General"/>
    </dxf>
    <dxf>
      <numFmt numFmtId="0" formatCode="General"/>
    </dxf>
    <dxf>
      <numFmt numFmtId="0" formatCode="General"/>
    </dxf>
    <dxf>
      <font>
        <b/>
        <charset val="163"/>
      </font>
      <numFmt numFmtId="164" formatCode="[$-1000000]h:mm;@"/>
      <fill>
        <patternFill patternType="solid">
          <fgColor indexed="64"/>
          <bgColor theme="1"/>
        </patternFill>
      </fill>
    </dxf>
    <dxf>
      <font>
        <sz val="9"/>
        <color theme="1"/>
      </font>
      <border>
        <bottom style="thin">
          <color theme="5"/>
        </bottom>
        <vertical/>
        <horizontal/>
      </border>
    </dxf>
    <dxf>
      <font>
        <color theme="1"/>
      </font>
      <border diagonalUp="0" diagonalDown="0">
        <left/>
        <right/>
        <top/>
        <bottom/>
        <vertical/>
        <horizontal/>
      </border>
    </dxf>
    <dxf>
      <font>
        <color theme="1" tint="0.34998626667073579"/>
      </font>
      <fill>
        <patternFill patternType="solid">
          <fgColor theme="0" tint="-0.14996795556505021"/>
          <bgColor theme="2" tint="-9.9948118533890809E-2"/>
        </patternFill>
      </fill>
    </dxf>
    <dxf>
      <font>
        <b/>
        <i/>
        <color theme="1" tint="0.34998626667073579"/>
      </font>
      <border>
        <left/>
        <right/>
        <top style="thin">
          <color theme="0" tint="-0.34998626667073579"/>
        </top>
        <bottom style="thin">
          <color theme="0" tint="-0.34998626667073579"/>
        </bottom>
        <vertical/>
        <horizontal style="thin">
          <color theme="0" tint="-0.34998626667073579"/>
        </horizontal>
      </border>
    </dxf>
    <dxf>
      <font>
        <color theme="1" tint="0.34998626667073579"/>
      </font>
      <border diagonalUp="0" diagonalDown="0">
        <left/>
        <right/>
        <top style="medium">
          <color theme="0" tint="-0.34998626667073579"/>
        </top>
        <bottom style="thin">
          <color theme="0" tint="-0.34998626667073579"/>
        </bottom>
        <vertical/>
        <horizontal style="thin">
          <color theme="0" tint="-0.34998626667073579"/>
        </horizontal>
      </border>
    </dxf>
    <dxf>
      <font>
        <b/>
        <i val="0"/>
        <color theme="0"/>
      </font>
      <fill>
        <patternFill>
          <bgColor theme="1" tint="0.24994659260841701"/>
        </patternFill>
      </fill>
      <border>
        <top style="thin">
          <color theme="0"/>
        </top>
        <vertical style="thin">
          <color theme="0"/>
        </vertical>
      </border>
    </dxf>
    <dxf>
      <border>
        <top style="thin">
          <color theme="1" tint="0.34998626667073579"/>
        </top>
        <bottom style="thin">
          <color theme="1" tint="0.34998626667073579"/>
        </bottom>
        <horizontal style="thin">
          <color theme="1" tint="0.34998626667073579"/>
        </horizontal>
      </border>
    </dxf>
  </dxfs>
  <tableStyles count="2" defaultTableStyle="TableStyleMedium2" defaultPivotStyle="PivotStyleLight16">
    <tableStyle name="Dạng xem theo Lịch biểu Lớp" pivot="0" count="5" xr9:uid="{00000000-0011-0000-FFFF-FFFF00000000}">
      <tableStyleElement type="wholeTable" dxfId="313"/>
      <tableStyleElement type="headerRow" dxfId="312"/>
      <tableStyleElement type="totalRow" dxfId="311"/>
      <tableStyleElement type="lastColumn" dxfId="310"/>
      <tableStyleElement type="firstRowStripe" dxfId="309"/>
    </tableStyle>
    <tableStyle name="Slicer Dạng xem theo Lịch biểu Lớp" pivot="0" table="0" count="2" xr9:uid="{00000000-0011-0000-FFFF-FFFF01000000}">
      <tableStyleElement type="wholeTable" dxfId="308"/>
      <tableStyleElement type="headerRow" dxfId="30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Danh s&#225;ch l&#7899;p h&#7885;c'!A1"/></Relationships>
</file>

<file path=xl/drawings/_rels/drawing2.xml.rels><?xml version="1.0" encoding="UTF-8" standalone="yes"?>
<Relationships xmlns="http://schemas.openxmlformats.org/package/2006/relationships"><Relationship Id="rId1" Type="http://schemas.openxmlformats.org/officeDocument/2006/relationships/hyperlink" Target="#'D&#7841;ng xem theo Li&#803;ch bi&#7875;u L&#417;&#769;p'!A1"/></Relationships>
</file>

<file path=xl/drawings/drawing1.xml><?xml version="1.0" encoding="utf-8"?>
<xdr:wsDr xmlns:xdr="http://schemas.openxmlformats.org/drawingml/2006/spreadsheetDrawing" xmlns:a="http://schemas.openxmlformats.org/drawingml/2006/main">
  <xdr:twoCellAnchor editAs="oneCell">
    <xdr:from>
      <xdr:col>9</xdr:col>
      <xdr:colOff>1565773</xdr:colOff>
      <xdr:row>0</xdr:row>
      <xdr:rowOff>164852</xdr:rowOff>
    </xdr:from>
    <xdr:to>
      <xdr:col>9</xdr:col>
      <xdr:colOff>1700244</xdr:colOff>
      <xdr:row>1</xdr:row>
      <xdr:rowOff>109383</xdr:rowOff>
    </xdr:to>
    <xdr:sp macro="" textlink="">
      <xdr:nvSpPr>
        <xdr:cNvPr id="5" name="Mũi tên: Chữ V 4" descr="mũi tên">
          <a:hlinkClick xmlns:r="http://schemas.openxmlformats.org/officeDocument/2006/relationships" r:id="rId1" tooltip="Chọn để dẫn hướng đến trang tính Danh sách lớp học"/>
          <a:extLst>
            <a:ext uri="{FF2B5EF4-FFF2-40B4-BE49-F238E27FC236}">
              <a16:creationId xmlns:a16="http://schemas.microsoft.com/office/drawing/2014/main" id="{9C3B1660-A286-46BC-8C75-5618DCAA2DCA}"/>
            </a:ext>
          </a:extLst>
        </xdr:cNvPr>
        <xdr:cNvSpPr/>
      </xdr:nvSpPr>
      <xdr:spPr>
        <a:xfrm>
          <a:off x="12852898" y="164852"/>
          <a:ext cx="134471" cy="201706"/>
        </a:xfrm>
        <a:prstGeom prst="chevron">
          <a:avLst/>
        </a:prstGeom>
        <a:solidFill>
          <a:schemeClr val="accent2">
            <a:lumMod val="20000"/>
            <a:lumOff val="8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158750</xdr:colOff>
      <xdr:row>0</xdr:row>
      <xdr:rowOff>149225</xdr:rowOff>
    </xdr:from>
    <xdr:to>
      <xdr:col>6</xdr:col>
      <xdr:colOff>293221</xdr:colOff>
      <xdr:row>0</xdr:row>
      <xdr:rowOff>350931</xdr:rowOff>
    </xdr:to>
    <xdr:sp macro="" textlink="">
      <xdr:nvSpPr>
        <xdr:cNvPr id="4" name="Mũi tên: Chữ V 3" descr="mũi tên">
          <a:hlinkClick xmlns:r="http://schemas.openxmlformats.org/officeDocument/2006/relationships" r:id="rId1" tooltip="Chọn để dẫn hướng đến trang tính Dạng xem theo Lịch biểu Lớp"/>
          <a:extLst>
            <a:ext uri="{FF2B5EF4-FFF2-40B4-BE49-F238E27FC236}">
              <a16:creationId xmlns:a16="http://schemas.microsoft.com/office/drawing/2014/main" id="{3827567C-2444-4A9B-8BA7-9AD7F5973BFF}"/>
            </a:ext>
          </a:extLst>
        </xdr:cNvPr>
        <xdr:cNvSpPr/>
      </xdr:nvSpPr>
      <xdr:spPr>
        <a:xfrm rot="10800000">
          <a:off x="8178800" y="149225"/>
          <a:ext cx="134471" cy="201706"/>
        </a:xfrm>
        <a:prstGeom prst="chevron">
          <a:avLst/>
        </a:prstGeom>
        <a:solidFill>
          <a:schemeClr val="accent2">
            <a:lumMod val="20000"/>
            <a:lumOff val="8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chemeClr val="tx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ạng_xem_theo_Lịch_biểu_Lớp" displayName="Dạng_xem_theo_Lịch_biểu_Lớp" ref="B3:I14">
  <autoFilter ref="B3:I14" xr:uid="{00000000-0009-0000-0100-000003000000}"/>
  <tableColumns count="8">
    <tableColumn id="1" xr3:uid="{00000000-0010-0000-0000-000001000000}" name="TIẾT" totalsRowLabel="Tổng" dataDxfId="306" dataCellStyle="Thời gian">
      <calculatedColumnFormula>BẮT_ĐẦU_LỊCH_BIỂU</calculatedColumnFormula>
    </tableColumn>
    <tableColumn id="2" xr3:uid="{00000000-0010-0000-0000-000002000000}" name="CHỦ NHẬT" dataDxfId="305" dataCellStyle="Chi_tiết_bảng">
      <calculatedColumnFormula>IFERROR(INDEX(Danh_sách_lớp_học[],MATCH(SUMPRODUCT((Danh_sách_lớp_học[NGÀY]=Dạng_xem_theo_Lịch_biểu_Lớp[[#Headers],[CHỦ NHẬT]])*(ROUNDDOWN($B4,10)&gt;=ROUNDDOWN(Danh_sách_lớp_học[THỜI GIAN BẮT ĐẦU],10))*($B4&lt;=Danh_sách_lớp_học[THỜI GIAN KẾT THÚC]),Danh_sách_lớp_học[DUY NHẤT]),Danh_sách_lớp_học[DUY NHẤT],0),2),0)</calculatedColumnFormula>
    </tableColumn>
    <tableColumn id="3" xr3:uid="{00000000-0010-0000-0000-000003000000}" name="THỨ HAI" dataDxfId="304" dataCellStyle="Chi_tiết_bảng">
      <calculatedColumnFormula>IFERROR(INDEX(Danh_sách_lớp_học[],MATCH(SUMPRODUCT((Danh_sách_lớp_học[NGÀY]=Dạng_xem_theo_Lịch_biểu_Lớp[[#Headers],[THỨ HAI]])*(ROUNDDOWN($B4,10)&gt;=ROUNDDOWN(Danh_sách_lớp_học[THỜI GIAN BẮT ĐẦU],10))*($B4&lt;=Danh_sách_lớp_học[THỜI GIAN KẾT THÚC]),Danh_sách_lớp_học[DUY NHẤT]),Danh_sách_lớp_học[DUY NHẤT],0),2),0)</calculatedColumnFormula>
    </tableColumn>
    <tableColumn id="4" xr3:uid="{00000000-0010-0000-0000-000004000000}" name="THỨ BA" dataDxfId="303" dataCellStyle="Chi_tiết_bảng">
      <calculatedColumnFormula>IFERROR(INDEX(Danh_sách_lớp_học[],MATCH(SUMPRODUCT((Danh_sách_lớp_học[NGÀY]=Dạng_xem_theo_Lịch_biểu_Lớp[[#Headers],[THỨ BA]])*(ROUNDDOWN($B4,10)&gt;=ROUNDDOWN(Danh_sách_lớp_học[THỜI GIAN BẮT ĐẦU],10))*($B4&lt;=Danh_sách_lớp_học[THỜI GIAN KẾT THÚC]),Danh_sách_lớp_học[DUY NHẤT]),Danh_sách_lớp_học[DUY NHẤT],0),2),0)</calculatedColumnFormula>
    </tableColumn>
    <tableColumn id="6" xr3:uid="{EAE74631-AD3E-45B5-B279-6633F4AE4827}" name="THỨ NĂM" dataDxfId="302" dataCellStyle="Chi_tiết_bảng"/>
    <tableColumn id="5" xr3:uid="{00000000-0010-0000-0000-000005000000}" name="THỨ TƯ" dataDxfId="301" dataCellStyle="Chi_tiết_bảng">
      <calculatedColumnFormula>IFERROR(INDEX(Danh_sách_lớp_học[],MATCH(SUMPRODUCT((Danh_sách_lớp_học[NGÀY]=Dạng_xem_theo_Lịch_biểu_Lớp[[#Headers],[THỨ TƯ]])*(ROUNDDOWN($B4,10)&gt;=ROUNDDOWN(Danh_sách_lớp_học[THỜI GIAN BẮT ĐẦU],10))*($B4&lt;=Danh_sách_lớp_học[THỜI GIAN KẾT THÚC]),Danh_sách_lớp_học[DUY NHẤT]),Danh_sách_lớp_học[DUY NHẤT],0),2),0)</calculatedColumnFormula>
    </tableColumn>
    <tableColumn id="7" xr3:uid="{00000000-0010-0000-0000-000007000000}" name="THỨ SÁU" dataDxfId="300" dataCellStyle="Chi_tiết_bảng">
      <calculatedColumnFormula>IFERROR(INDEX(Danh_sách_lớp_học[],MATCH(SUMPRODUCT((Danh_sách_lớp_học[NGÀY]=Dạng_xem_theo_Lịch_biểu_Lớp[[#Headers],[THỨ SÁU]])*(ROUNDDOWN($B4,10)&gt;=ROUNDDOWN(Danh_sách_lớp_học[THỜI GIAN BẮT ĐẦU],10))*($B4&lt;=Danh_sách_lớp_học[THỜI GIAN KẾT THÚC]),Danh_sách_lớp_học[DUY NHẤT]),Danh_sách_lớp_học[DUY NHẤT],0),2),0)</calculatedColumnFormula>
    </tableColumn>
    <tableColumn id="8" xr3:uid="{00000000-0010-0000-0000-000008000000}" name="THỨ BẢY" totalsRowFunction="sum" dataCellStyle="Chi_tiết_bảng">
      <calculatedColumnFormula>IFERROR(INDEX(Danh_sách_lớp_học[],MATCH(SUMPRODUCT((Danh_sách_lớp_học[NGÀY]=Dạng_xem_theo_Lịch_biểu_Lớp[[#Headers],[THỨ BẢY]])*(ROUNDDOWN($B4,10)&gt;=ROUNDDOWN(Danh_sách_lớp_học[THỜI GIAN BẮT ĐẦU],10))*($B4&lt;=Danh_sách_lớp_học[THỜI GIAN KẾT THÚC]),Danh_sách_lớp_học[DUY NHẤT]),Danh_sách_lớp_học[DUY NHẤT],0),2),0)</calculatedColumnFormula>
    </tableColumn>
  </tableColumns>
  <tableStyleInfo name="Dạng xem theo Lịch biểu Lớp" showFirstColumn="0" showLastColumn="0" showRowStripes="0" showColumnStripes="0"/>
  <extLst>
    <ext xmlns:x14="http://schemas.microsoft.com/office/spreadsheetml/2009/9/main" uri="{504A1905-F514-4f6f-8877-14C23A59335A}">
      <x14:table altTextSummary="Danh sách các lớp được sắp xếp theo ngày trong tuần và khoảng thời gian. ID lớp học được hiển thị tại điểm giao nhau của Ngày trong tuần &amp; Thời gian bắt đầu, đồng thời, kéo dài cho đến hết Thời gian kết thúc"/>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nh_sách_lớp_học" displayName="Danh_sách_lớp_học" ref="B2:H10">
  <autoFilter ref="B2:H10" xr:uid="{00000000-0009-0000-0100-000001000000}"/>
  <tableColumns count="7">
    <tableColumn id="1" xr3:uid="{00000000-0010-0000-0100-000001000000}" name="LỚP" totalsRowLabel="Tổng" totalsRowDxfId="299" dataCellStyle="Chi_tiết_bảng"/>
    <tableColumn id="2" xr3:uid="{00000000-0010-0000-0100-000002000000}" name="ID" totalsRowDxfId="298" dataCellStyle="Chi_tiết_bảng"/>
    <tableColumn id="3" xr3:uid="{00000000-0010-0000-0100-000003000000}" name="NGÀY" totalsRowDxfId="297" dataCellStyle="Chi_tiết_bảng"/>
    <tableColumn id="5" xr3:uid="{00000000-0010-0000-0100-000005000000}" name="ĐỊA ĐIỂM" totalsRowDxfId="296" dataCellStyle="Chi_tiết_bảng"/>
    <tableColumn id="4" xr3:uid="{00000000-0010-0000-0100-000004000000}" name="THỜI GIAN BẮT ĐẦU" totalsRowDxfId="295" dataCellStyle="Thời gian"/>
    <tableColumn id="6" xr3:uid="{00000000-0010-0000-0100-000006000000}" name="THỜI GIAN KẾT THÚC" totalsRowDxfId="294" dataCellStyle="Thời gian"/>
    <tableColumn id="7" xr3:uid="{00000000-0010-0000-0100-000007000000}" name="DUY NHẤT" totalsRowFunction="sum" dataDxfId="293" totalsRowDxfId="292">
      <calculatedColumnFormula>ROW()-ROW(Danh_sách_lớp_học[[#Headers],[DUY NHẤT]])</calculatedColumnFormula>
    </tableColumn>
  </tableColumns>
  <tableStyleInfo name="Dạng xem theo Lịch biểu Lớp" showFirstColumn="0" showLastColumn="0" showRowStripes="1" showColumnStripes="0"/>
  <extLst>
    <ext xmlns:x14="http://schemas.microsoft.com/office/spreadsheetml/2009/9/main" uri="{504A1905-F514-4f6f-8877-14C23A59335A}">
      <x14:table altTextSummary="Thông tin các lớp học hiển thị trên trang tính Dạng xem theo Lịch biểu Lớp, như Lớp học, ID, Ngày (ngày trong tuần), Vị trí, Thời gian bắt đầu &amp; Thời gian kết thúc"/>
    </ext>
  </extLst>
</table>
</file>

<file path=xl/theme/theme1.xml><?xml version="1.0" encoding="utf-8"?>
<a:theme xmlns:a="http://schemas.openxmlformats.org/drawingml/2006/main" name="Student Schedule">
  <a:themeElements>
    <a:clrScheme name="Student Schedule">
      <a:dk1>
        <a:srgbClr val="000000"/>
      </a:dk1>
      <a:lt1>
        <a:srgbClr val="FFFFFF"/>
      </a:lt1>
      <a:dk2>
        <a:srgbClr val="2E3F5C"/>
      </a:dk2>
      <a:lt2>
        <a:srgbClr val="F7F6F0"/>
      </a:lt2>
      <a:accent1>
        <a:srgbClr val="CC7073"/>
      </a:accent1>
      <a:accent2>
        <a:srgbClr val="34A5A3"/>
      </a:accent2>
      <a:accent3>
        <a:srgbClr val="F0AE1E"/>
      </a:accent3>
      <a:accent4>
        <a:srgbClr val="DB803D"/>
      </a:accent4>
      <a:accent5>
        <a:srgbClr val="88AC2E"/>
      </a:accent5>
      <a:accent6>
        <a:srgbClr val="A9758F"/>
      </a:accent6>
      <a:hlink>
        <a:srgbClr val="42A3B6"/>
      </a:hlink>
      <a:folHlink>
        <a:srgbClr val="A9758F"/>
      </a:folHlink>
    </a:clrScheme>
    <a:fontScheme name="Student Schedule">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79998168889431442"/>
    <pageSetUpPr autoPageBreaks="0" fitToPage="1"/>
  </sheetPr>
  <dimension ref="A1:J14"/>
  <sheetViews>
    <sheetView showGridLines="0" tabSelected="1" topLeftCell="B2" zoomScale="59" zoomScaleNormal="55" zoomScaleSheetLayoutView="100" workbookViewId="0">
      <selection activeCell="I14" sqref="I14"/>
    </sheetView>
  </sheetViews>
  <sheetFormatPr defaultColWidth="9" defaultRowHeight="30" customHeight="1" x14ac:dyDescent="0.25"/>
  <cols>
    <col min="1" max="1" width="2.59765625" style="1" customWidth="1"/>
    <col min="2" max="2" width="15.69921875" style="1" customWidth="1"/>
    <col min="3" max="9" width="21.59765625" style="1" customWidth="1"/>
    <col min="10" max="10" width="22.59765625" style="1" customWidth="1"/>
    <col min="11" max="11" width="2.59765625" style="1" customWidth="1"/>
    <col min="12" max="16384" width="9" style="1"/>
  </cols>
  <sheetData>
    <row r="1" spans="1:10" ht="20.25" customHeight="1" x14ac:dyDescent="0.25">
      <c r="B1" s="12" t="s">
        <v>0</v>
      </c>
      <c r="C1" s="12"/>
      <c r="D1" s="12"/>
      <c r="E1" s="12"/>
      <c r="F1" s="12"/>
      <c r="G1" s="12"/>
      <c r="H1" s="5" t="s">
        <v>5</v>
      </c>
      <c r="I1" s="5" t="s">
        <v>7</v>
      </c>
      <c r="J1" s="13" t="s">
        <v>30</v>
      </c>
    </row>
    <row r="2" spans="1:10" ht="20.25" customHeight="1" x14ac:dyDescent="0.25">
      <c r="B2" s="12"/>
      <c r="C2" s="12"/>
      <c r="D2" s="12"/>
      <c r="E2" s="12"/>
      <c r="F2" s="12"/>
      <c r="G2" s="12"/>
      <c r="H2" s="6">
        <v>0.33333333333333331</v>
      </c>
      <c r="I2" s="6" t="s">
        <v>8</v>
      </c>
      <c r="J2" s="13"/>
    </row>
    <row r="3" spans="1:10" ht="29.4" customHeight="1" x14ac:dyDescent="0.25">
      <c r="B3" s="10" t="s">
        <v>37</v>
      </c>
      <c r="C3" s="8" t="s">
        <v>1</v>
      </c>
      <c r="D3" s="8" t="s">
        <v>2</v>
      </c>
      <c r="E3" s="8" t="s">
        <v>3</v>
      </c>
      <c r="F3" s="8" t="s">
        <v>47</v>
      </c>
      <c r="G3" s="8" t="s">
        <v>4</v>
      </c>
      <c r="H3" s="8" t="s">
        <v>9</v>
      </c>
      <c r="I3" s="8" t="s">
        <v>10</v>
      </c>
    </row>
    <row r="4" spans="1:10" ht="30" customHeight="1" x14ac:dyDescent="0.25">
      <c r="B4" s="11" t="s">
        <v>38</v>
      </c>
      <c r="C4" s="7"/>
      <c r="D4" s="7"/>
      <c r="E4" s="7"/>
      <c r="F4" s="9" t="s">
        <v>34</v>
      </c>
      <c r="G4" s="7"/>
      <c r="H4" s="7"/>
      <c r="I4" s="7">
        <f>IFERROR(INDEX(Danh_sách_lớp_học[],MATCH(SUMPRODUCT((Danh_sách_lớp_học[NGÀY]=Dạng_xem_theo_Lịch_biểu_Lớp[[#Headers],[THỨ BẢY]])*(ROUNDDOWN($B4,10)&gt;=ROUNDDOWN(Danh_sách_lớp_học[THỜI GIAN BẮT ĐẦU],10))*($B4&lt;=Danh_sách_lớp_học[THỜI GIAN KẾT THÚC]),Danh_sách_lớp_học[DUY NHẤT]),Danh_sách_lớp_học[DUY NHẤT],0),2),0)</f>
        <v>0</v>
      </c>
    </row>
    <row r="5" spans="1:10" ht="30" customHeight="1" x14ac:dyDescent="0.25">
      <c r="B5" s="11" t="s">
        <v>42</v>
      </c>
      <c r="C5" s="7"/>
      <c r="D5" s="7"/>
      <c r="E5" s="7"/>
      <c r="F5" s="9" t="s">
        <v>34</v>
      </c>
      <c r="G5" s="7"/>
      <c r="H5" s="7"/>
      <c r="I5" s="7">
        <f>IFERROR(INDEX(Danh_sách_lớp_học[],MATCH(SUMPRODUCT((Danh_sách_lớp_học[NGÀY]=Dạng_xem_theo_Lịch_biểu_Lớp[[#Headers],[THỨ BẢY]])*(ROUNDDOWN($B5,10)&gt;=ROUNDDOWN(Danh_sách_lớp_học[THỜI GIAN BẮT ĐẦU],10))*($B5&lt;=Danh_sách_lớp_học[THỜI GIAN KẾT THÚC]),Danh_sách_lớp_học[DUY NHẤT]),Danh_sách_lớp_học[DUY NHẤT],0),2),0)</f>
        <v>0</v>
      </c>
    </row>
    <row r="6" spans="1:10" ht="30" customHeight="1" x14ac:dyDescent="0.25">
      <c r="B6" s="11" t="s">
        <v>43</v>
      </c>
      <c r="C6" s="7"/>
      <c r="D6" s="7"/>
      <c r="E6" s="7"/>
      <c r="F6" s="9" t="s">
        <v>34</v>
      </c>
      <c r="G6" s="7"/>
      <c r="H6" s="7"/>
      <c r="I6" s="7">
        <f>IFERROR(INDEX(Danh_sách_lớp_học[],MATCH(SUMPRODUCT((Danh_sách_lớp_học[NGÀY]=Dạng_xem_theo_Lịch_biểu_Lớp[[#Headers],[THỨ BẢY]])*(ROUNDDOWN($B6,10)&gt;=ROUNDDOWN(Danh_sách_lớp_học[THỜI GIAN BẮT ĐẦU],10))*($B6&lt;=Danh_sách_lớp_học[THỜI GIAN KẾT THÚC]),Danh_sách_lớp_học[DUY NHẤT]),Danh_sách_lớp_học[DUY NHẤT],0),2),0)</f>
        <v>0</v>
      </c>
    </row>
    <row r="7" spans="1:10" ht="30" customHeight="1" x14ac:dyDescent="0.25">
      <c r="B7" s="11" t="s">
        <v>44</v>
      </c>
      <c r="C7" s="7"/>
      <c r="D7" s="7"/>
      <c r="E7" s="7"/>
      <c r="F7" s="7"/>
      <c r="G7" s="7"/>
      <c r="H7" s="7"/>
      <c r="I7" s="7">
        <f>IFERROR(INDEX(Danh_sách_lớp_học[],MATCH(SUMPRODUCT((Danh_sách_lớp_học[NGÀY]=Dạng_xem_theo_Lịch_biểu_Lớp[[#Headers],[THỨ BẢY]])*(ROUNDDOWN($B7,10)&gt;=ROUNDDOWN(Danh_sách_lớp_học[THỜI GIAN BẮT ĐẦU],10))*($B7&lt;=Danh_sách_lớp_học[THỜI GIAN KẾT THÚC]),Danh_sách_lớp_học[DUY NHẤT]),Danh_sách_lớp_học[DUY NHẤT],0),2),0)</f>
        <v>0</v>
      </c>
    </row>
    <row r="8" spans="1:10" ht="30" customHeight="1" x14ac:dyDescent="0.25">
      <c r="B8" s="11" t="s">
        <v>41</v>
      </c>
      <c r="C8" s="7"/>
      <c r="D8" s="7"/>
      <c r="E8" s="7"/>
      <c r="F8" s="7"/>
      <c r="G8" s="7"/>
      <c r="H8" s="7"/>
      <c r="I8" s="7"/>
    </row>
    <row r="10" spans="1:10" ht="30" customHeight="1" x14ac:dyDescent="0.25">
      <c r="B10" s="11" t="s">
        <v>39</v>
      </c>
      <c r="C10" s="7">
        <f>IFERROR(INDEX(Danh_sách_lớp_học[],MATCH(SUMPRODUCT((Danh_sách_lớp_học[NGÀY]=Dạng_xem_theo_Lịch_biểu_Lớp[[#Headers],[CHỦ NHẬT]])*(ROUNDDOWN($B10,10)&gt;=ROUNDDOWN(Danh_sách_lớp_học[THỜI GIAN BẮT ĐẦU],10))*($B10&lt;=Danh_sách_lớp_học[THỜI GIAN KẾT THÚC]),Danh_sách_lớp_học[DUY NHẤT]),Danh_sách_lớp_học[DUY NHẤT],0),2),0)</f>
        <v>0</v>
      </c>
      <c r="D10" s="9" t="s">
        <v>32</v>
      </c>
      <c r="E10" s="9" t="s">
        <v>33</v>
      </c>
      <c r="F10" s="9"/>
      <c r="G10" s="9" t="s">
        <v>35</v>
      </c>
      <c r="H10" s="9" t="s">
        <v>49</v>
      </c>
      <c r="I10" s="9" t="s">
        <v>36</v>
      </c>
    </row>
    <row r="11" spans="1:10" ht="30" customHeight="1" x14ac:dyDescent="0.25">
      <c r="A11"/>
      <c r="B11" s="11" t="s">
        <v>45</v>
      </c>
      <c r="C11" s="7">
        <f>IFERROR(INDEX(Danh_sách_lớp_học[],MATCH(SUMPRODUCT((Danh_sách_lớp_học[NGÀY]=Dạng_xem_theo_Lịch_biểu_Lớp[[#Headers],[CHỦ NHẬT]])*(ROUNDDOWN($B11,10)&gt;=ROUNDDOWN(Danh_sách_lớp_học[THỜI GIAN BẮT ĐẦU],10))*($B11&lt;=Danh_sách_lớp_học[THỜI GIAN KẾT THÚC]),Danh_sách_lớp_học[DUY NHẤT]),Danh_sách_lớp_học[DUY NHẤT],0),2),0)</f>
        <v>0</v>
      </c>
      <c r="D11" s="9" t="s">
        <v>32</v>
      </c>
      <c r="E11" s="9" t="s">
        <v>33</v>
      </c>
      <c r="F11" s="9"/>
      <c r="G11" s="9" t="s">
        <v>35</v>
      </c>
      <c r="H11" s="9" t="s">
        <v>49</v>
      </c>
      <c r="I11" s="9" t="s">
        <v>36</v>
      </c>
    </row>
    <row r="12" spans="1:10" ht="30" customHeight="1" x14ac:dyDescent="0.25">
      <c r="B12" s="11" t="s">
        <v>40</v>
      </c>
      <c r="C12" s="7">
        <f>IFERROR(INDEX(Danh_sách_lớp_học[],MATCH(SUMPRODUCT((Danh_sách_lớp_học[NGÀY]=Dạng_xem_theo_Lịch_biểu_Lớp[[#Headers],[CHỦ NHẬT]])*(ROUNDDOWN($B12,10)&gt;=ROUNDDOWN(Danh_sách_lớp_học[THỜI GIAN BẮT ĐẦU],10))*($B12&lt;=Danh_sách_lớp_học[THỜI GIAN KẾT THÚC]),Danh_sách_lớp_học[DUY NHẤT]),Danh_sách_lớp_học[DUY NHẤT],0),2),0)</f>
        <v>0</v>
      </c>
      <c r="D12" s="7"/>
      <c r="E12" s="9"/>
      <c r="F12" s="9" t="s">
        <v>48</v>
      </c>
      <c r="G12" s="9" t="s">
        <v>35</v>
      </c>
      <c r="H12" s="9" t="s">
        <v>49</v>
      </c>
      <c r="I12" s="9" t="s">
        <v>36</v>
      </c>
    </row>
    <row r="13" spans="1:10" ht="30" customHeight="1" x14ac:dyDescent="0.25">
      <c r="B13" s="11" t="s">
        <v>46</v>
      </c>
      <c r="C13" s="7">
        <f>IFERROR(INDEX(Danh_sách_lớp_học[],MATCH(SUMPRODUCT((Danh_sách_lớp_học[NGÀY]=Dạng_xem_theo_Lịch_biểu_Lớp[[#Headers],[CHỦ NHẬT]])*(ROUNDDOWN($B13,10)&gt;=ROUNDDOWN(Danh_sách_lớp_học[THỜI GIAN BẮT ĐẦU],10))*($B13&lt;=Danh_sách_lớp_học[THỜI GIAN KẾT THÚC]),Danh_sách_lớp_học[DUY NHẤT]),Danh_sách_lớp_học[DUY NHẤT],0),2),0)</f>
        <v>0</v>
      </c>
      <c r="D13" s="7"/>
      <c r="E13" s="9"/>
      <c r="F13" s="9" t="s">
        <v>48</v>
      </c>
      <c r="G13" s="9" t="s">
        <v>35</v>
      </c>
      <c r="H13" s="9"/>
      <c r="I13" s="9" t="s">
        <v>36</v>
      </c>
    </row>
    <row r="14" spans="1:10" ht="30" customHeight="1" x14ac:dyDescent="0.25">
      <c r="B14" s="11">
        <f>BẮT_ĐẦU_LỊCH_BIỂU</f>
        <v>0.33333333333333331</v>
      </c>
      <c r="C14" s="7">
        <f>IFERROR(INDEX(Danh_sách_lớp_học[],MATCH(SUMPRODUCT((Danh_sách_lớp_học[NGÀY]=Dạng_xem_theo_Lịch_biểu_Lớp[[#Headers],[CHỦ NHẬT]])*(ROUNDDOWN($B14,10)&gt;=ROUNDDOWN(Danh_sách_lớp_học[THỜI GIAN BẮT ĐẦU],10))*($B14&lt;=Danh_sách_lớp_học[THỜI GIAN KẾT THÚC]),Danh_sách_lớp_học[DUY NHẤT]),Danh_sách_lớp_học[DUY NHẤT],0),2),0)</f>
        <v>0</v>
      </c>
      <c r="D14" s="7">
        <f>IFERROR(INDEX(Danh_sách_lớp_học[],MATCH(SUMPRODUCT((Danh_sách_lớp_học[NGÀY]=Dạng_xem_theo_Lịch_biểu_Lớp[[#Headers],[THỨ HAI]])*(ROUNDDOWN($B14,10)&gt;=ROUNDDOWN(Danh_sách_lớp_học[THỜI GIAN BẮT ĐẦU],10))*($B14&lt;=Danh_sách_lớp_học[THỜI GIAN KẾT THÚC]),Danh_sách_lớp_học[DUY NHẤT]),Danh_sách_lớp_học[DUY NHẤT],0),2),0)</f>
        <v>0</v>
      </c>
      <c r="E14" s="7">
        <f>IFERROR(INDEX(Danh_sách_lớp_học[],MATCH(SUMPRODUCT((Danh_sách_lớp_học[NGÀY]=Dạng_xem_theo_Lịch_biểu_Lớp[[#Headers],[THỨ BA]])*(ROUNDDOWN($B14,10)&gt;=ROUNDDOWN(Danh_sách_lớp_học[THỜI GIAN BẮT ĐẦU],10))*($B14&lt;=Danh_sách_lớp_học[THỜI GIAN KẾT THÚC]),Danh_sách_lớp_học[DUY NHẤT]),Danh_sách_lớp_học[DUY NHẤT],0),2),0)</f>
        <v>0</v>
      </c>
      <c r="F14" s="7"/>
      <c r="G14" s="7"/>
      <c r="H14" s="7">
        <f>IFERROR(INDEX(Danh_sách_lớp_học[],MATCH(SUMPRODUCT((Danh_sách_lớp_học[NGÀY]=Dạng_xem_theo_Lịch_biểu_Lớp[[#Headers],[THỨ SÁU]])*(ROUNDDOWN($B14,10)&gt;=ROUNDDOWN(Danh_sách_lớp_học[THỜI GIAN BẮT ĐẦU],10))*($B14&lt;=Danh_sách_lớp_học[THỜI GIAN KẾT THÚC]),Danh_sách_lớp_học[DUY NHẤT]),Danh_sách_lớp_học[DUY NHẤT],0),2),0)</f>
        <v>0</v>
      </c>
      <c r="I14" s="7">
        <f>IFERROR(INDEX(Danh_sách_lớp_học[],MATCH(SUMPRODUCT((Danh_sách_lớp_học[NGÀY]=Dạng_xem_theo_Lịch_biểu_Lớp[[#Headers],[THỨ BẢY]])*(ROUNDDOWN($B14,10)&gt;=ROUNDDOWN(Danh_sách_lớp_học[THỜI GIAN BẮT ĐẦU],10))*($B14&lt;=Danh_sách_lớp_học[THỜI GIAN KẾT THÚC]),Danh_sách_lớp_học[DUY NHẤT]),Danh_sách_lớp_học[DUY NHẤT],0),2),0)</f>
        <v>0</v>
      </c>
    </row>
  </sheetData>
  <sheetProtection selectLockedCells="1"/>
  <mergeCells count="2">
    <mergeCell ref="B1:G2"/>
    <mergeCell ref="J1:J2"/>
  </mergeCells>
  <conditionalFormatting sqref="B10:C10 I10">
    <cfRule type="expression" dxfId="291" priority="3448">
      <formula>($B10&lt;=Thời_gian_hiện_tại)*($B11&gt;=Thời_gian_hiện_tại)</formula>
    </cfRule>
    <cfRule type="expression" dxfId="290" priority="3449">
      <formula>(ROW(B10)&lt;ROW(INDEX($B$4:$B59,MATCH(Thời_gian_kết_thúc_lịch,$B$4:$B$39,1),1))+1)</formula>
    </cfRule>
    <cfRule type="expression" dxfId="289" priority="3450">
      <formula>B10=#REF!</formula>
    </cfRule>
    <cfRule type="expression" dxfId="288" priority="3451" stopIfTrue="1">
      <formula>(B10&gt;Thời_gian_kết_thúc_lịch)</formula>
    </cfRule>
    <cfRule type="expression" dxfId="287" priority="3452">
      <formula>INDEX($B$4:$B59,MATCH(Thời_gian_kết_thúc_lịch,$B$4:$B$39,1),1)</formula>
    </cfRule>
  </conditionalFormatting>
  <conditionalFormatting sqref="B11:C11 I11">
    <cfRule type="expression" dxfId="286" priority="3473">
      <formula>($B11&lt;=Thời_gian_hiện_tại)*(#REF!&gt;=Thời_gian_hiện_tại)</formula>
    </cfRule>
    <cfRule type="expression" dxfId="285" priority="3474">
      <formula>(ROW(B11)&lt;ROW(INDEX($B$4:$B60,MATCH(Thời_gian_kết_thúc_lịch,$B$4:$B$39,1),1))+1)</formula>
    </cfRule>
    <cfRule type="expression" dxfId="284" priority="3475">
      <formula>B11=B10</formula>
    </cfRule>
    <cfRule type="expression" dxfId="283" priority="3476" stopIfTrue="1">
      <formula>(B11&gt;Thời_gian_kết_thúc_lịch)</formula>
    </cfRule>
    <cfRule type="expression" dxfId="282" priority="3477">
      <formula>INDEX($B$4:$B60,MATCH(Thời_gian_kết_thúc_lịch,$B$4:$B$39,1),1)</formula>
    </cfRule>
  </conditionalFormatting>
  <conditionalFormatting sqref="B12:C12 I12">
    <cfRule type="expression" dxfId="281" priority="3483">
      <formula>($B12&lt;=Thời_gian_hiện_tại)*($B13&gt;=Thời_gian_hiện_tại)</formula>
    </cfRule>
    <cfRule type="expression" dxfId="280" priority="3484">
      <formula>(ROW(B12)&lt;ROW(INDEX($B$4:$B63,MATCH(Thời_gian_kết_thúc_lịch,$B$4:$B$39,1),1))+1)</formula>
    </cfRule>
    <cfRule type="expression" dxfId="279" priority="3485">
      <formula>B12=#REF!</formula>
    </cfRule>
    <cfRule type="expression" dxfId="278" priority="3486" stopIfTrue="1">
      <formula>(B12&gt;Thời_gian_kết_thúc_lịch)</formula>
    </cfRule>
    <cfRule type="expression" dxfId="277" priority="3487">
      <formula>INDEX($B$4:$B63,MATCH(Thời_gian_kết_thúc_lịch,$B$4:$B$39,1),1)</formula>
    </cfRule>
  </conditionalFormatting>
  <conditionalFormatting sqref="B13:C13">
    <cfRule type="expression" dxfId="276" priority="3463">
      <formula>($B13&lt;=Thời_gian_hiện_tại)*(#REF!&gt;=Thời_gian_hiện_tại)</formula>
    </cfRule>
    <cfRule type="expression" dxfId="275" priority="3464">
      <formula>(ROW(B13)&lt;ROW(INDEX($B$4:$B64,MATCH(Thời_gian_kết_thúc_lịch,$B$4:$B$39,1),1))+1)</formula>
    </cfRule>
    <cfRule type="expression" dxfId="274" priority="3465">
      <formula>B13=B12</formula>
    </cfRule>
    <cfRule type="expression" dxfId="273" priority="3466" stopIfTrue="1">
      <formula>(B13&gt;Thời_gian_kết_thúc_lịch)</formula>
    </cfRule>
    <cfRule type="expression" dxfId="272" priority="3467">
      <formula>INDEX($B$4:$B64,MATCH(Thời_gian_kết_thúc_lịch,$B$4:$B$39,1),1)</formula>
    </cfRule>
  </conditionalFormatting>
  <conditionalFormatting sqref="B8:D8 G8:I8">
    <cfRule type="expression" dxfId="80" priority="3518">
      <formula>($B8&lt;=Thời_gian_hiện_tại)*(#REF!&gt;=Thời_gian_hiện_tại)</formula>
    </cfRule>
    <cfRule type="expression" dxfId="79" priority="3519">
      <formula>(ROW(B8)&lt;ROW(INDEX($B$4:$B52,MATCH(Thời_gian_kết_thúc_lịch,$B$4:$B$39,1),1))+1)</formula>
    </cfRule>
    <cfRule type="expression" dxfId="78" priority="3520">
      <formula>B8=#REF!</formula>
    </cfRule>
    <cfRule type="expression" dxfId="77" priority="3521" stopIfTrue="1">
      <formula>(B8&gt;Thời_gian_kết_thúc_lịch)</formula>
    </cfRule>
    <cfRule type="expression" dxfId="76" priority="3522">
      <formula>INDEX($B$4:$B52,MATCH(Thời_gian_kết_thúc_lịch,$B$4:$B$39,1),1)</formula>
    </cfRule>
  </conditionalFormatting>
  <conditionalFormatting sqref="B5:E6 G5:G6 I5:I6">
    <cfRule type="expression" dxfId="266" priority="3495">
      <formula>B5=B4</formula>
    </cfRule>
    <cfRule type="expression" dxfId="265" priority="3496" stopIfTrue="1">
      <formula>(B5&gt;Thời_gian_kết_thúc_lịch)</formula>
    </cfRule>
    <cfRule type="expression" dxfId="264" priority="3497">
      <formula>INDEX($B$4:$B41,MATCH(Thời_gian_kết_thúc_lịch,$B$4:$B$39,1),1)</formula>
    </cfRule>
  </conditionalFormatting>
  <conditionalFormatting sqref="B7:E7 G7 I7">
    <cfRule type="expression" dxfId="69" priority="3498">
      <formula>($B7&lt;=Thời_gian_hiện_tại)*(#REF!&gt;=Thời_gian_hiện_tại)</formula>
    </cfRule>
    <cfRule type="expression" dxfId="68" priority="3499">
      <formula>(ROW(B7)&lt;ROW(INDEX($B$4:$B43,MATCH(Thời_gian_kết_thúc_lịch,$B$4:$B$39,1),1))+1)</formula>
    </cfRule>
    <cfRule type="expression" dxfId="67" priority="3500">
      <formula>B7=B6</formula>
    </cfRule>
    <cfRule type="expression" dxfId="66" priority="3501" stopIfTrue="1">
      <formula>(B7&gt;Thời_gian_kết_thúc_lịch)</formula>
    </cfRule>
    <cfRule type="expression" dxfId="65" priority="3502">
      <formula>INDEX($B$4:$B43,MATCH(Thời_gian_kết_thúc_lịch,$B$4:$B$39,1),1)</formula>
    </cfRule>
  </conditionalFormatting>
  <conditionalFormatting sqref="B4:G4 I4">
    <cfRule type="expression" dxfId="64" priority="3505">
      <formula>B4=#REF!</formula>
    </cfRule>
    <cfRule type="expression" dxfId="63" priority="3506" stopIfTrue="1">
      <formula>(B4&gt;Thời_gian_kết_thúc_lịch)</formula>
    </cfRule>
    <cfRule type="expression" dxfId="62" priority="3507">
      <formula>INDEX($B$4:$B40,MATCH(Thời_gian_kết_thúc_lịch,$B$4:$B$39,1),1)</formula>
    </cfRule>
  </conditionalFormatting>
  <conditionalFormatting sqref="B4:G4">
    <cfRule type="expression" dxfId="61" priority="3503">
      <formula>($B4&lt;=Thời_gian_hiện_tại)*($B5&gt;=Thời_gian_hiện_tại)</formula>
    </cfRule>
    <cfRule type="expression" dxfId="60" priority="3504">
      <formula>(ROW(B4)&lt;ROW(INDEX($B$4:$B40,MATCH(Thời_gian_kết_thúc_lịch,$B$4:$B$39,1),1))+1)</formula>
    </cfRule>
  </conditionalFormatting>
  <conditionalFormatting sqref="B3:I3">
    <cfRule type="expression" dxfId="253" priority="1263">
      <formula>(B3=ThisWeekday)*(#REF!&lt;Thời_gian_kết_thúc_lịch)</formula>
    </cfRule>
  </conditionalFormatting>
  <conditionalFormatting sqref="B14:I14">
    <cfRule type="expression" dxfId="252" priority="3458">
      <formula>($B14&lt;=Thời_gian_hiện_tại)*($B15&gt;=Thời_gian_hiện_tại)</formula>
    </cfRule>
    <cfRule type="expression" dxfId="251" priority="3459">
      <formula>(ROW(B14)&lt;ROW(INDEX($B$4:$B91,MATCH(Thời_gian_kết_thúc_lịch,$B$4:$B$39,1),1))+1)</formula>
    </cfRule>
    <cfRule type="expression" dxfId="250" priority="3460">
      <formula>B14=#REF!</formula>
    </cfRule>
    <cfRule type="expression" dxfId="249" priority="3461" stopIfTrue="1">
      <formula>(B14&gt;Thời_gian_kết_thúc_lịch)</formula>
    </cfRule>
    <cfRule type="expression" dxfId="248" priority="3462">
      <formula>INDEX($B$4:$B91,MATCH(Thời_gian_kết_thúc_lịch,$B$4:$B$39,1),1)</formula>
    </cfRule>
  </conditionalFormatting>
  <conditionalFormatting sqref="C4:E4 G4 I4 C8:D8 G8:I8 C10 C12 C14:I14">
    <cfRule type="expression" dxfId="57" priority="526">
      <formula>(C4=#REF!)*(C$3=ThisWeekday)*(C4&lt;&gt;0)*($B4&lt;Thời_gian_kết_thúc_lịch)</formula>
    </cfRule>
    <cfRule type="expression" dxfId="56" priority="527">
      <formula>(C$3=ThisWeekday)*(C4&lt;&gt;0)*($B4&lt;Thời_gian_kết_thúc_lịch)</formula>
    </cfRule>
    <cfRule type="expression" dxfId="55" priority="528">
      <formula>(C4=#REF!)*(C4&lt;&gt;0)*($B4&lt;Thời_gian_kết_thúc_lịch)</formula>
    </cfRule>
    <cfRule type="expression" dxfId="54" priority="529">
      <formula>(C4&lt;&gt;0)*($B4&lt;Thời_gian_kết_thúc_lịch)</formula>
    </cfRule>
    <cfRule type="expression" dxfId="53" priority="530">
      <formula>(C$3=ThisWeekday)*($B4&lt;Thời_gian_kết_thúc_lịch)</formula>
    </cfRule>
    <cfRule type="expression" dxfId="52" priority="531">
      <formula>C4=0</formula>
    </cfRule>
  </conditionalFormatting>
  <conditionalFormatting sqref="C5:E7 G5:G7 I5:I7 C11 C13">
    <cfRule type="expression" dxfId="241" priority="57">
      <formula>(C5=C4)*(C$3=ThisWeekday)*(C5&lt;&gt;0)*($B5&lt;Thời_gian_kết_thúc_lịch)</formula>
    </cfRule>
    <cfRule type="expression" dxfId="240" priority="58">
      <formula>(C$3=ThisWeekday)*(C5&lt;&gt;0)*($B5&lt;Thời_gian_kết_thúc_lịch)</formula>
    </cfRule>
    <cfRule type="expression" dxfId="239" priority="61">
      <formula>(C5=C4)*(C5&lt;&gt;0)*($B5&lt;Thời_gian_kết_thúc_lịch)</formula>
    </cfRule>
    <cfRule type="expression" dxfId="238" priority="63">
      <formula>(C5&lt;&gt;0)*($B5&lt;Thời_gian_kết_thúc_lịch)</formula>
    </cfRule>
    <cfRule type="expression" dxfId="237" priority="64">
      <formula>(C$3=ThisWeekday)*($B5&lt;Thời_gian_kết_thúc_lịch)</formula>
    </cfRule>
    <cfRule type="expression" dxfId="236" priority="353">
      <formula>C5=0</formula>
    </cfRule>
  </conditionalFormatting>
  <conditionalFormatting sqref="D10">
    <cfRule type="expression" dxfId="235" priority="3538">
      <formula>($B10&lt;=Thời_gian_hiện_tại)*($B11&gt;=Thời_gian_hiện_tại)</formula>
    </cfRule>
    <cfRule type="expression" dxfId="234" priority="3539">
      <formula>(ROW(D10)&lt;ROW(INDEX($B$4:$B59,MATCH(Thời_gian_kết_thúc_lịch,$B$4:$B$39,1),1))+1)</formula>
    </cfRule>
    <cfRule type="expression" dxfId="233" priority="3540">
      <formula>D10=#REF!</formula>
    </cfRule>
    <cfRule type="expression" dxfId="232" priority="3541" stopIfTrue="1">
      <formula>(D10&gt;Thời_gian_kết_thúc_lịch)</formula>
    </cfRule>
    <cfRule type="expression" dxfId="231" priority="3542">
      <formula>INDEX($B$4:$B59,MATCH(Thời_gian_kết_thúc_lịch,$B$4:$B$39,1),1)</formula>
    </cfRule>
  </conditionalFormatting>
  <conditionalFormatting sqref="D10:D11">
    <cfRule type="expression" dxfId="230" priority="34">
      <formula>(D10=#REF!)*(D$3=ThisWeekday)*(D10&lt;&gt;0)*($B10&lt;Thời_gian_kết_thúc_lịch)</formula>
    </cfRule>
    <cfRule type="expression" dxfId="229" priority="35">
      <formula>(D$3=ThisWeekday)*(D10&lt;&gt;0)*($B10&lt;Thời_gian_kết_thúc_lịch)</formula>
    </cfRule>
    <cfRule type="expression" dxfId="228" priority="36">
      <formula>(D10=#REF!)*(D10&lt;&gt;0)*($B10&lt;Thời_gian_kết_thúc_lịch)</formula>
    </cfRule>
    <cfRule type="expression" dxfId="227" priority="37">
      <formula>(D10&lt;&gt;0)*($B10&lt;Thời_gian_kết_thúc_lịch)</formula>
    </cfRule>
    <cfRule type="expression" dxfId="226" priority="38">
      <formula>(D$3=ThisWeekday)*($B10&lt;Thời_gian_kết_thúc_lịch)</formula>
    </cfRule>
    <cfRule type="expression" dxfId="225" priority="39">
      <formula>D10=0</formula>
    </cfRule>
  </conditionalFormatting>
  <conditionalFormatting sqref="D11">
    <cfRule type="expression" dxfId="224" priority="3814">
      <formula>($B11&lt;=Thời_gian_hiện_tại)*(#REF!&gt;=Thời_gian_hiện_tại)</formula>
    </cfRule>
    <cfRule type="expression" dxfId="223" priority="3815">
      <formula>(ROW(D11)&lt;ROW(INDEX($B$4:$B60,MATCH(Thời_gian_kết_thúc_lịch,$B$4:$B$39,1),1))+1)</formula>
    </cfRule>
    <cfRule type="expression" dxfId="222" priority="3816">
      <formula>D11=#REF!</formula>
    </cfRule>
    <cfRule type="expression" dxfId="221" priority="3817" stopIfTrue="1">
      <formula>(D11&gt;Thời_gian_kết_thúc_lịch)</formula>
    </cfRule>
    <cfRule type="expression" dxfId="220" priority="3818">
      <formula>INDEX($B$4:$B60,MATCH(Thời_gian_kết_thúc_lịch,$B$4:$B$39,1),1)</formula>
    </cfRule>
  </conditionalFormatting>
  <conditionalFormatting sqref="E10:F10">
    <cfRule type="expression" dxfId="219" priority="1613">
      <formula>(E10=#REF!)*(E$3=ThisWeekday)*(E10&lt;&gt;0)*(#REF!&lt;Thời_gian_kết_thúc_lịch)</formula>
    </cfRule>
    <cfRule type="expression" dxfId="218" priority="1614">
      <formula>(E$3=ThisWeekday)*(E10&lt;&gt;0)*(#REF!&lt;Thời_gian_kết_thúc_lịch)</formula>
    </cfRule>
    <cfRule type="expression" dxfId="217" priority="1615">
      <formula>(E10=#REF!)*(E10&lt;&gt;0)*(#REF!&lt;Thời_gian_kết_thúc_lịch)</formula>
    </cfRule>
    <cfRule type="expression" dxfId="216" priority="1616">
      <formula>(E10&lt;&gt;0)*(#REF!&lt;Thời_gian_kết_thúc_lịch)</formula>
    </cfRule>
    <cfRule type="expression" dxfId="215" priority="1617">
      <formula>(E$3=ThisWeekday)*(#REF!&lt;Thời_gian_kết_thúc_lịch)</formula>
    </cfRule>
    <cfRule type="expression" dxfId="214" priority="1618">
      <formula>E10=0</formula>
    </cfRule>
    <cfRule type="expression" dxfId="213" priority="3528">
      <formula>(#REF!&lt;=Thời_gian_hiện_tại)*($B8&gt;=Thời_gian_hiện_tại)</formula>
    </cfRule>
    <cfRule type="expression" dxfId="212" priority="3529">
      <formula>(ROW(E10)&lt;ROW(INDEX($B$4:$B51,MATCH(Thời_gian_kết_thúc_lịch,$B$4:$B$39,1),1))+1)</formula>
    </cfRule>
    <cfRule type="expression" dxfId="211" priority="3530">
      <formula>E10=#REF!</formula>
    </cfRule>
    <cfRule type="expression" dxfId="210" priority="3531" stopIfTrue="1">
      <formula>(E10&gt;Thời_gian_kết_thúc_lịch)</formula>
    </cfRule>
    <cfRule type="expression" dxfId="209" priority="3532">
      <formula>INDEX($B$4:$B51,MATCH(Thời_gian_kết_thúc_lịch,$B$4:$B$39,1),1)</formula>
    </cfRule>
  </conditionalFormatting>
  <conditionalFormatting sqref="E11:F11">
    <cfRule type="expression" dxfId="208" priority="1619">
      <formula>(E11=#REF!)*(E$3=ThisWeekday)*(E11&lt;&gt;0)*($B8&lt;Thời_gian_kết_thúc_lịch)</formula>
    </cfRule>
    <cfRule type="expression" dxfId="207" priority="1620">
      <formula>(E$3=ThisWeekday)*(E11&lt;&gt;0)*($B8&lt;Thời_gian_kết_thúc_lịch)</formula>
    </cfRule>
    <cfRule type="expression" dxfId="206" priority="1621">
      <formula>(E11=#REF!)*(E11&lt;&gt;0)*($B8&lt;Thời_gian_kết_thúc_lịch)</formula>
    </cfRule>
    <cfRule type="expression" dxfId="205" priority="1622">
      <formula>(E11&lt;&gt;0)*($B8&lt;Thời_gian_kết_thúc_lịch)</formula>
    </cfRule>
    <cfRule type="expression" dxfId="204" priority="1623">
      <formula>(E$3=ThisWeekday)*($B8&lt;Thời_gian_kết_thúc_lịch)</formula>
    </cfRule>
    <cfRule type="expression" dxfId="203" priority="1624">
      <formula>E11=0</formula>
    </cfRule>
    <cfRule type="expression" dxfId="202" priority="3533">
      <formula>($B8&lt;=Thời_gian_hiện_tại)*(#REF!&gt;=Thời_gian_hiện_tại)</formula>
    </cfRule>
    <cfRule type="expression" dxfId="201" priority="3534">
      <formula>(ROW(E11)&lt;ROW(INDEX($B$4:$B52,MATCH(Thời_gian_kết_thúc_lịch,$B$4:$B$39,1),1))+1)</formula>
    </cfRule>
    <cfRule type="expression" dxfId="200" priority="3535">
      <formula>E11=#REF!</formula>
    </cfRule>
    <cfRule type="expression" dxfId="199" priority="3536" stopIfTrue="1">
      <formula>(E11&gt;Thời_gian_kết_thúc_lịch)</formula>
    </cfRule>
    <cfRule type="expression" dxfId="198" priority="3537">
      <formula>INDEX($B$4:$B52,MATCH(Thời_gian_kết_thúc_lịch,$B$4:$B$39,1),1)</formula>
    </cfRule>
  </conditionalFormatting>
  <conditionalFormatting sqref="E12:F12">
    <cfRule type="expression" dxfId="197" priority="1855">
      <formula>(E12=E11)*(E$3=ThisWeekday)*(E12&lt;&gt;0)*(#REF!&lt;Thời_gian_kết_thúc_lịch)</formula>
    </cfRule>
    <cfRule type="expression" dxfId="196" priority="1856">
      <formula>(E$3=ThisWeekday)*(E12&lt;&gt;0)*(#REF!&lt;Thời_gian_kết_thúc_lịch)</formula>
    </cfRule>
    <cfRule type="expression" dxfId="195" priority="1857">
      <formula>(E12=E11)*(E12&lt;&gt;0)*(#REF!&lt;Thời_gian_kết_thúc_lịch)</formula>
    </cfRule>
    <cfRule type="expression" dxfId="194" priority="1858">
      <formula>(E12&lt;&gt;0)*(#REF!&lt;Thời_gian_kết_thúc_lịch)</formula>
    </cfRule>
    <cfRule type="expression" dxfId="193" priority="1859">
      <formula>(E$3=ThisWeekday)*(#REF!&lt;Thời_gian_kết_thúc_lịch)</formula>
    </cfRule>
    <cfRule type="expression" dxfId="192" priority="1860">
      <formula>E12=0</formula>
    </cfRule>
  </conditionalFormatting>
  <conditionalFormatting sqref="E12:F13">
    <cfRule type="expression" dxfId="191" priority="3639">
      <formula>(#REF!&lt;=Thời_gian_hiện_tại)*(#REF!&gt;=Thời_gian_hiện_tại)</formula>
    </cfRule>
    <cfRule type="expression" dxfId="190" priority="3640">
      <formula>(ROW(E12)&lt;ROW(INDEX($B$4:$B55,MATCH(Thời_gian_kết_thúc_lịch,$B$4:$B$39,1),1))+1)</formula>
    </cfRule>
    <cfRule type="expression" dxfId="189" priority="3641">
      <formula>E12=#REF!</formula>
    </cfRule>
    <cfRule type="expression" dxfId="188" priority="3642" stopIfTrue="1">
      <formula>(E12&gt;Thời_gian_kết_thúc_lịch)</formula>
    </cfRule>
    <cfRule type="expression" dxfId="187" priority="3643">
      <formula>INDEX($B$4:$B55,MATCH(Thời_gian_kết_thúc_lịch,$B$4:$B$39,1),1)</formula>
    </cfRule>
  </conditionalFormatting>
  <conditionalFormatting sqref="E13:F13">
    <cfRule type="expression" dxfId="186" priority="1867">
      <formula>(E13=#REF!)*(E$3=ThisWeekday)*(E13&lt;&gt;0)*(#REF!&lt;Thời_gian_kết_thúc_lịch)</formula>
    </cfRule>
    <cfRule type="expression" dxfId="185" priority="1868">
      <formula>(E$3=ThisWeekday)*(E13&lt;&gt;0)*(#REF!&lt;Thời_gian_kết_thúc_lịch)</formula>
    </cfRule>
    <cfRule type="expression" dxfId="184" priority="1869">
      <formula>(E13=#REF!)*(E13&lt;&gt;0)*(#REF!&lt;Thời_gian_kết_thúc_lịch)</formula>
    </cfRule>
    <cfRule type="expression" dxfId="183" priority="1870">
      <formula>(E13&lt;&gt;0)*(#REF!&lt;Thời_gian_kết_thúc_lịch)</formula>
    </cfRule>
    <cfRule type="expression" dxfId="182" priority="1871">
      <formula>(E$3=ThisWeekday)*(#REF!&lt;Thời_gian_kết_thúc_lịch)</formula>
    </cfRule>
    <cfRule type="expression" dxfId="181" priority="1872">
      <formula>E13=0</formula>
    </cfRule>
  </conditionalFormatting>
  <conditionalFormatting sqref="F4:F6">
    <cfRule type="expression" dxfId="180" priority="768">
      <formula>(F4=#REF!)*(G$3=ThisWeekday)*(F4&lt;&gt;0)*(#REF!&lt;Thời_gian_kết_thúc_lịch)</formula>
    </cfRule>
    <cfRule type="expression" dxfId="179" priority="769">
      <formula>(G$3=ThisWeekday)*(F4&lt;&gt;0)*(#REF!&lt;Thời_gian_kết_thúc_lịch)</formula>
    </cfRule>
    <cfRule type="expression" dxfId="178" priority="770">
      <formula>(F4=#REF!)*(F4&lt;&gt;0)*(#REF!&lt;Thời_gian_kết_thúc_lịch)</formula>
    </cfRule>
    <cfRule type="expression" dxfId="177" priority="771">
      <formula>(F4&lt;&gt;0)*(#REF!&lt;Thời_gian_kết_thúc_lịch)</formula>
    </cfRule>
    <cfRule type="expression" dxfId="176" priority="772">
      <formula>(G$3=ThisWeekday)*(#REF!&lt;Thời_gian_kết_thúc_lịch)</formula>
    </cfRule>
    <cfRule type="expression" dxfId="175" priority="773">
      <formula>F4=0</formula>
    </cfRule>
    <cfRule type="expression" dxfId="174" priority="3508">
      <formula>(#REF!&lt;=Thời_gian_hiện_tại)*(#REF!&gt;=Thời_gian_hiện_tại)</formula>
    </cfRule>
    <cfRule type="expression" dxfId="173" priority="3509">
      <formula>(ROW(F4)&lt;ROW(INDEX($B$4:$B54,MATCH(Thời_gian_kết_thúc_lịch,$B$4:$B$39,1),1))+1)</formula>
    </cfRule>
    <cfRule type="expression" dxfId="172" priority="3510">
      <formula>F4=#REF!</formula>
    </cfRule>
    <cfRule type="expression" dxfId="171" priority="3511" stopIfTrue="1">
      <formula>(F4&gt;Thời_gian_kết_thúc_lịch)</formula>
    </cfRule>
    <cfRule type="expression" dxfId="170" priority="3512">
      <formula>INDEX($B$4:$B54,MATCH(Thời_gian_kết_thúc_lịch,$B$4:$B$39,1),1)</formula>
    </cfRule>
  </conditionalFormatting>
  <conditionalFormatting sqref="F7">
    <cfRule type="expression" dxfId="169" priority="3554">
      <formula>(F7=#REF!)*(F$3=ThisWeekday)*(F7&lt;&gt;0)*($B7&lt;Thời_gian_kết_thúc_lịch)</formula>
    </cfRule>
    <cfRule type="expression" dxfId="168" priority="3555">
      <formula>(F$3=ThisWeekday)*(F7&lt;&gt;0)*($B7&lt;Thời_gian_kết_thúc_lịch)</formula>
    </cfRule>
    <cfRule type="expression" dxfId="167" priority="3556">
      <formula>(F7=#REF!)*(F7&lt;&gt;0)*($B7&lt;Thời_gian_kết_thúc_lịch)</formula>
    </cfRule>
    <cfRule type="expression" dxfId="166" priority="3557">
      <formula>(F7&lt;&gt;0)*($B7&lt;Thời_gian_kết_thúc_lịch)</formula>
    </cfRule>
    <cfRule type="expression" dxfId="165" priority="3558">
      <formula>(F$3=ThisWeekday)*($B7&lt;Thời_gian_kết_thúc_lịch)</formula>
    </cfRule>
    <cfRule type="expression" dxfId="164" priority="3559">
      <formula>F7=0</formula>
    </cfRule>
    <cfRule type="expression" dxfId="163" priority="3634">
      <formula>($B7&lt;=Thời_gian_hiện_tại)*(#REF!&gt;=Thời_gian_hiện_tại)</formula>
    </cfRule>
    <cfRule type="expression" dxfId="162" priority="3635">
      <formula>(ROW(F7)&lt;ROW(INDEX($B$4:$B43,MATCH(Thời_gian_kết_thúc_lịch,$B$4:$B$39,1),1))+1)</formula>
    </cfRule>
    <cfRule type="expression" dxfId="161" priority="3636">
      <formula>F7=#REF!</formula>
    </cfRule>
    <cfRule type="expression" dxfId="160" priority="3637" stopIfTrue="1">
      <formula>(F7&gt;Thời_gian_kết_thúc_lịch)</formula>
    </cfRule>
    <cfRule type="expression" dxfId="159" priority="3638">
      <formula>INDEX($B$4:$B43,MATCH(Thời_gian_kết_thúc_lịch,$B$4:$B$39,1),1)</formula>
    </cfRule>
  </conditionalFormatting>
  <conditionalFormatting sqref="F13">
    <cfRule type="expression" dxfId="158" priority="12">
      <formula>(F13=F12)*(F$3=ThisWeekday)*(F13&lt;&gt;0)*(#REF!&lt;Thời_gian_kết_thúc_lịch)</formula>
    </cfRule>
    <cfRule type="expression" dxfId="157" priority="13">
      <formula>(F$3=ThisWeekday)*(F13&lt;&gt;0)*(#REF!&lt;Thời_gian_kết_thúc_lịch)</formula>
    </cfRule>
    <cfRule type="expression" dxfId="156" priority="14">
      <formula>(F13=F12)*(F13&lt;&gt;0)*(#REF!&lt;Thời_gian_kết_thúc_lịch)</formula>
    </cfRule>
    <cfRule type="expression" dxfId="155" priority="15">
      <formula>(F13&lt;&gt;0)*(#REF!&lt;Thời_gian_kết_thúc_lịch)</formula>
    </cfRule>
    <cfRule type="expression" dxfId="154" priority="16">
      <formula>(F$3=ThisWeekday)*(#REF!&lt;Thời_gian_kết_thúc_lịch)</formula>
    </cfRule>
    <cfRule type="expression" dxfId="153" priority="17">
      <formula>F13=0</formula>
    </cfRule>
  </conditionalFormatting>
  <conditionalFormatting sqref="G10:H10">
    <cfRule type="expression" dxfId="39" priority="3674">
      <formula>(G10=#REF!)*(H$3=ThisWeekday)*(G10&lt;&gt;0)*($B4&lt;Thời_gian_kết_thúc_lịch)</formula>
    </cfRule>
    <cfRule type="expression" dxfId="38" priority="3675">
      <formula>(H$3=ThisWeekday)*(G10&lt;&gt;0)*($B4&lt;Thời_gian_kết_thúc_lịch)</formula>
    </cfRule>
    <cfRule type="expression" dxfId="37" priority="3676">
      <formula>(G10=#REF!)*(G10&lt;&gt;0)*($B4&lt;Thời_gian_kết_thúc_lịch)</formula>
    </cfRule>
    <cfRule type="expression" dxfId="36" priority="3677">
      <formula>(G10&lt;&gt;0)*($B4&lt;Thời_gian_kết_thúc_lịch)</formula>
    </cfRule>
    <cfRule type="expression" dxfId="35" priority="3678">
      <formula>(H$3=ThisWeekday)*($B4&lt;Thời_gian_kết_thúc_lịch)</formula>
    </cfRule>
    <cfRule type="expression" dxfId="34" priority="3679">
      <formula>G10=0</formula>
    </cfRule>
    <cfRule type="expression" dxfId="33" priority="3741">
      <formula>G10=#REF!</formula>
    </cfRule>
    <cfRule type="expression" dxfId="32" priority="3742" stopIfTrue="1">
      <formula>(G10&gt;Thời_gian_kết_thúc_lịch)</formula>
    </cfRule>
    <cfRule type="expression" dxfId="31" priority="3743">
      <formula>INDEX($B$4:$B40,MATCH(Thời_gian_kết_thúc_lịch,$B$4:$B$39,1),1)</formula>
    </cfRule>
  </conditionalFormatting>
  <conditionalFormatting sqref="G10:G12">
    <cfRule type="expression" dxfId="143" priority="3719">
      <formula>($B4&lt;=Thời_gian_hiện_tại)*($B5&gt;=Thời_gian_hiện_tại)</formula>
    </cfRule>
    <cfRule type="expression" dxfId="142" priority="3720">
      <formula>(ROW(G10)&lt;ROW(INDEX($B$4:$B40,MATCH(Thời_gian_kết_thúc_lịch,$B$4:$B$39,1),1))+1)</formula>
    </cfRule>
  </conditionalFormatting>
  <conditionalFormatting sqref="G11:G12">
    <cfRule type="expression" dxfId="141" priority="3721">
      <formula>G11=G10</formula>
    </cfRule>
    <cfRule type="expression" dxfId="140" priority="3722" stopIfTrue="1">
      <formula>(G11&gt;Thời_gian_kết_thúc_lịch)</formula>
    </cfRule>
    <cfRule type="expression" dxfId="139" priority="3723">
      <formula>INDEX($B$4:$B41,MATCH(Thời_gian_kết_thúc_lịch,$B$4:$B$39,1),1)</formula>
    </cfRule>
  </conditionalFormatting>
  <conditionalFormatting sqref="G11:G13">
    <cfRule type="expression" dxfId="138" priority="3650">
      <formula>(G11=G10)*(H$3=ThisWeekday)*(G11&lt;&gt;0)*($B5&lt;Thời_gian_kết_thúc_lịch)</formula>
    </cfRule>
    <cfRule type="expression" dxfId="137" priority="3651">
      <formula>(H$3=ThisWeekday)*(G11&lt;&gt;0)*($B5&lt;Thời_gian_kết_thúc_lịch)</formula>
    </cfRule>
    <cfRule type="expression" dxfId="136" priority="3652">
      <formula>(G11=G10)*(G11&lt;&gt;0)*($B5&lt;Thời_gian_kết_thúc_lịch)</formula>
    </cfRule>
    <cfRule type="expression" dxfId="135" priority="3653">
      <formula>(G11&lt;&gt;0)*($B5&lt;Thời_gian_kết_thúc_lịch)</formula>
    </cfRule>
    <cfRule type="expression" dxfId="134" priority="3654">
      <formula>(H$3=ThisWeekday)*($B5&lt;Thời_gian_kết_thúc_lịch)</formula>
    </cfRule>
    <cfRule type="expression" dxfId="133" priority="3655">
      <formula>G11=0</formula>
    </cfRule>
  </conditionalFormatting>
  <conditionalFormatting sqref="G13">
    <cfRule type="expression" dxfId="8" priority="3729">
      <formula>($B7&lt;=Thời_gian_hiện_tại)*(#REF!&gt;=Thời_gian_hiện_tại)</formula>
    </cfRule>
    <cfRule type="expression" dxfId="7" priority="3730">
      <formula>(ROW(G13)&lt;ROW(INDEX($B$4:$B43,MATCH(Thời_gian_kết_thúc_lịch,$B$4:$B$39,1),1))+1)</formula>
    </cfRule>
    <cfRule type="expression" dxfId="6" priority="3731">
      <formula>G13=G12</formula>
    </cfRule>
    <cfRule type="expression" dxfId="5" priority="3732" stopIfTrue="1">
      <formula>(G13&gt;Thời_gian_kết_thúc_lịch)</formula>
    </cfRule>
    <cfRule type="expression" dxfId="4" priority="3733">
      <formula>INDEX($B$4:$B43,MATCH(Thời_gian_kết_thúc_lịch,$B$4:$B$39,1),1)</formula>
    </cfRule>
  </conditionalFormatting>
  <conditionalFormatting sqref="I4:I6 B5:E6 G5:G6">
    <cfRule type="expression" dxfId="127" priority="3493">
      <formula>($B4&lt;=Thời_gian_hiện_tại)*($B5&gt;=Thời_gian_hiện_tại)</formula>
    </cfRule>
    <cfRule type="expression" dxfId="126" priority="3494">
      <formula>(ROW(B4)&lt;ROW(INDEX($B$4:$B40,MATCH(Thời_gian_kết_thúc_lịch,$B$4:$B$39,1),1))+1)</formula>
    </cfRule>
  </conditionalFormatting>
  <conditionalFormatting sqref="I13">
    <cfRule type="expression" dxfId="125" priority="3834">
      <formula>($B13&lt;=Thời_gian_hiện_tại)*(#REF!&gt;=Thời_gian_hiện_tại)</formula>
    </cfRule>
    <cfRule type="expression" dxfId="124" priority="3835">
      <formula>(ROW(I13)&lt;ROW(INDEX($B$4:$B64,MATCH(Thời_gian_kết_thúc_lịch,$B$4:$B$39,1),1))+1)</formula>
    </cfRule>
    <cfRule type="expression" dxfId="123" priority="3836">
      <formula>I13=#REF!</formula>
    </cfRule>
    <cfRule type="expression" dxfId="122" priority="3837" stopIfTrue="1">
      <formula>(I13&gt;Thời_gian_kết_thúc_lịch)</formula>
    </cfRule>
    <cfRule type="expression" dxfId="121" priority="3838">
      <formula>INDEX($B$4:$B64,MATCH(Thời_gian_kết_thúc_lịch,$B$4:$B$39,1),1)</formula>
    </cfRule>
  </conditionalFormatting>
  <conditionalFormatting sqref="H13">
    <cfRule type="expression" dxfId="120" priority="3839">
      <formula>($B13&lt;=Thời_gian_hiện_tại)*(#REF!&gt;=Thời_gian_hiện_tại)</formula>
    </cfRule>
    <cfRule type="expression" dxfId="119" priority="3840">
      <formula>(ROW(H13)&lt;ROW(INDEX($B$4:$B64,MATCH(Thời_gian_kết_thúc_lịch,$B$4:$B$39,1),1))+1)</formula>
    </cfRule>
    <cfRule type="expression" dxfId="118" priority="3841">
      <formula>H13=I12</formula>
    </cfRule>
    <cfRule type="expression" dxfId="117" priority="3842" stopIfTrue="1">
      <formula>(H13&gt;Thời_gian_kết_thúc_lịch)</formula>
    </cfRule>
    <cfRule type="expression" dxfId="116" priority="3843">
      <formula>INDEX($B$4:$B64,MATCH(Thời_gian_kết_thúc_lịch,$B$4:$B$39,1),1)</formula>
    </cfRule>
  </conditionalFormatting>
  <conditionalFormatting sqref="I10 I12">
    <cfRule type="expression" dxfId="115" priority="3852">
      <formula>(I10=#REF!)*(H$3=ThisWeekday)*(I10&lt;&gt;0)*($B10&lt;Thời_gian_kết_thúc_lịch)</formula>
    </cfRule>
    <cfRule type="expression" dxfId="114" priority="3853">
      <formula>(H$3=ThisWeekday)*(I10&lt;&gt;0)*($B10&lt;Thời_gian_kết_thúc_lịch)</formula>
    </cfRule>
    <cfRule type="expression" dxfId="113" priority="3854">
      <formula>(I10=#REF!)*(I10&lt;&gt;0)*($B10&lt;Thời_gian_kết_thúc_lịch)</formula>
    </cfRule>
    <cfRule type="expression" dxfId="112" priority="3855">
      <formula>(I10&lt;&gt;0)*($B10&lt;Thời_gian_kết_thúc_lịch)</formula>
    </cfRule>
    <cfRule type="expression" dxfId="111" priority="3856">
      <formula>(H$3=ThisWeekday)*($B10&lt;Thời_gian_kết_thúc_lịch)</formula>
    </cfRule>
    <cfRule type="expression" dxfId="110" priority="3857">
      <formula>I10=0</formula>
    </cfRule>
  </conditionalFormatting>
  <conditionalFormatting sqref="I11">
    <cfRule type="expression" dxfId="109" priority="3870">
      <formula>(I11=I10)*(H$3=ThisWeekday)*(I11&lt;&gt;0)*($B11&lt;Thời_gian_kết_thúc_lịch)</formula>
    </cfRule>
    <cfRule type="expression" dxfId="108" priority="3871">
      <formula>(H$3=ThisWeekday)*(I11&lt;&gt;0)*($B11&lt;Thời_gian_kết_thúc_lịch)</formula>
    </cfRule>
    <cfRule type="expression" dxfId="107" priority="3872">
      <formula>(I11=I10)*(I11&lt;&gt;0)*($B11&lt;Thời_gian_kết_thúc_lịch)</formula>
    </cfRule>
    <cfRule type="expression" dxfId="106" priority="3873">
      <formula>(I11&lt;&gt;0)*($B11&lt;Thời_gian_kết_thúc_lịch)</formula>
    </cfRule>
    <cfRule type="expression" dxfId="105" priority="3874">
      <formula>(H$3=ThisWeekday)*($B11&lt;Thời_gian_kết_thúc_lịch)</formula>
    </cfRule>
    <cfRule type="expression" dxfId="104" priority="3875">
      <formula>I11=0</formula>
    </cfRule>
  </conditionalFormatting>
  <conditionalFormatting sqref="I13">
    <cfRule type="expression" dxfId="103" priority="3876">
      <formula>(I13=#REF!)*(I$3=ThisWeekday)*(I13&lt;&gt;0)*($B13&lt;Thời_gian_kết_thúc_lịch)</formula>
    </cfRule>
    <cfRule type="expression" dxfId="102" priority="3877">
      <formula>(I$3=ThisWeekday)*(I13&lt;&gt;0)*($B13&lt;Thời_gian_kết_thúc_lịch)</formula>
    </cfRule>
    <cfRule type="expression" dxfId="101" priority="3878">
      <formula>(I13=#REF!)*(I13&lt;&gt;0)*($B13&lt;Thời_gian_kết_thúc_lịch)</formula>
    </cfRule>
    <cfRule type="expression" dxfId="100" priority="3879">
      <formula>(I13&lt;&gt;0)*($B13&lt;Thời_gian_kết_thúc_lịch)</formula>
    </cfRule>
    <cfRule type="expression" dxfId="99" priority="3880">
      <formula>(I$3=ThisWeekday)*($B13&lt;Thời_gian_kết_thúc_lịch)</formula>
    </cfRule>
    <cfRule type="expression" dxfId="98" priority="3881">
      <formula>I13=0</formula>
    </cfRule>
  </conditionalFormatting>
  <conditionalFormatting sqref="H13">
    <cfRule type="expression" dxfId="97" priority="3882">
      <formula>(H13=I12)*(H$3=ThisWeekday)*(H13&lt;&gt;0)*($B13&lt;Thời_gian_kết_thúc_lịch)</formula>
    </cfRule>
    <cfRule type="expression" dxfId="96" priority="3883">
      <formula>(H$3=ThisWeekday)*(H13&lt;&gt;0)*($B13&lt;Thời_gian_kết_thúc_lịch)</formula>
    </cfRule>
    <cfRule type="expression" dxfId="95" priority="3884">
      <formula>(H13=I12)*(H13&lt;&gt;0)*($B13&lt;Thời_gian_kết_thúc_lịch)</formula>
    </cfRule>
    <cfRule type="expression" dxfId="94" priority="3885">
      <formula>(H13&lt;&gt;0)*($B13&lt;Thời_gian_kết_thúc_lịch)</formula>
    </cfRule>
    <cfRule type="expression" dxfId="93" priority="3886">
      <formula>(H$3=ThisWeekday)*($B13&lt;Thời_gian_kết_thúc_lịch)</formula>
    </cfRule>
    <cfRule type="expression" dxfId="92" priority="3887">
      <formula>H13=0</formula>
    </cfRule>
  </conditionalFormatting>
  <conditionalFormatting sqref="H10:H12">
    <cfRule type="expression" dxfId="91" priority="7">
      <formula>($B4&lt;=Thời_gian_hiện_tại)*($B5&gt;=Thời_gian_hiện_tại)</formula>
    </cfRule>
    <cfRule type="expression" dxfId="90" priority="8">
      <formula>(ROW(H10)&lt;ROW(INDEX($B$4:$B40,MATCH(Thời_gian_kết_thúc_lịch,$B$4:$B$39,1),1))+1)</formula>
    </cfRule>
  </conditionalFormatting>
  <conditionalFormatting sqref="H11:H12">
    <cfRule type="expression" dxfId="89" priority="9">
      <formula>H11=H10</formula>
    </cfRule>
    <cfRule type="expression" dxfId="88" priority="10" stopIfTrue="1">
      <formula>(H11&gt;Thời_gian_kết_thúc_lịch)</formula>
    </cfRule>
    <cfRule type="expression" dxfId="87" priority="11">
      <formula>INDEX($B$4:$B41,MATCH(Thời_gian_kết_thúc_lịch,$B$4:$B$39,1),1)</formula>
    </cfRule>
  </conditionalFormatting>
  <conditionalFormatting sqref="H11:H12">
    <cfRule type="expression" dxfId="86" priority="1">
      <formula>(H11=H10)*(I$3=ThisWeekday)*(H11&lt;&gt;0)*($B5&lt;Thời_gian_kết_thúc_lịch)</formula>
    </cfRule>
    <cfRule type="expression" dxfId="85" priority="2">
      <formula>(I$3=ThisWeekday)*(H11&lt;&gt;0)*($B5&lt;Thời_gian_kết_thúc_lịch)</formula>
    </cfRule>
    <cfRule type="expression" dxfId="84" priority="3">
      <formula>(H11=H10)*(H11&lt;&gt;0)*($B5&lt;Thời_gian_kết_thúc_lịch)</formula>
    </cfRule>
    <cfRule type="expression" dxfId="83" priority="4">
      <formula>(H11&lt;&gt;0)*($B5&lt;Thời_gian_kết_thúc_lịch)</formula>
    </cfRule>
    <cfRule type="expression" dxfId="82" priority="5">
      <formula>(I$3=ThisWeekday)*($B5&lt;Thời_gian_kết_thúc_lịch)</formula>
    </cfRule>
    <cfRule type="expression" dxfId="81" priority="6">
      <formula>H11=0</formula>
    </cfRule>
  </conditionalFormatting>
  <dataValidations count="14">
    <dataValidation type="list" errorStyle="warning" allowBlank="1" showInputMessage="1" showErrorMessage="1" error="Chọn thời gian bắt đầu từ danh sách. Chọn HỦY BỎ, rồi nhấn ALT+MŨI TÊN XUỐNG để chọn thời gian bắt đầu từ danh sách thả xuống" prompt="Nhập thời gian bắt đầu lịch biểu vào ô này. Nhấn ALT+MŨI TÊN XUỐNG để mở danh sách thả xuống, rồi nhấn ENTER để chọn thời gian" sqref="H2" xr:uid="{00000000-0002-0000-0000-000000000000}">
      <formula1>"8:00,9:00,10:00,11:00,12:00,13:00,14:00,15:00,16:00,17:00"</formula1>
    </dataValidation>
    <dataValidation type="list" errorStyle="warning" allowBlank="1" showInputMessage="1" showErrorMessage="1" error="Chọn khoảng thời gian từ danh sách. Chọn HỦY BỎ, rồi nhấn ALT+MŨI TÊN XUỐNG để chọn khoảng thời gian từ danh sách thả xuống" prompt="Nhập khoảng thời gian vào ô này. Nhấn ALT+MŨI TÊN XUỐNG để mở danh sách thả xuống, rồi nhấn ENTER để chọn khoảng thời gian" sqref="I2" xr:uid="{00000000-0002-0000-0000-000001000000}">
      <formula1>"15 PHÚT,20 PHÚT,30 PHÚT,40 PHÚT,45 PHÚT,60 PHÚT"</formula1>
    </dataValidation>
    <dataValidation allowBlank="1" showInputMessage="1" showErrorMessage="1" prompt="Để cập nhật Dạng xem theo Lịch biểu Lớp, hãy sửa đổi Thời gian bắt đầu Lịch biểu trong ô G2 &amp; Khoảng Thời gian trong ô H2. Thêm thông tin lớp trong trang tính Danh sách Lớp. Ô I1 dẫn hướng đến trang tính Danh sách Lớp" sqref="A1" xr:uid="{00000000-0002-0000-0000-000002000000}"/>
    <dataValidation allowBlank="1" showInputMessage="1" showErrorMessage="1" prompt="Bảng Dạng xem theo Lịch biểu Lớp bên dưới được cập nhật tự động từ các mục nhập trong bảng Danh sách Lớp ở trang tính Danh sách Lớp. Thêm các hàng vào cuối bảng để mở rộng lịch biểu" sqref="B1:G2" xr:uid="{00000000-0002-0000-0000-000003000000}"/>
    <dataValidation allowBlank="1" showInputMessage="1" showErrorMessage="1" prompt="Nhập thời gian bắt đầu lịch biểu vào ô G2" sqref="H1" xr:uid="{00000000-0002-0000-0000-000004000000}"/>
    <dataValidation allowBlank="1" showInputMessage="1" showErrorMessage="1" prompt="Nhập khoảng thời gian vào ô H2" sqref="I1" xr:uid="{00000000-0002-0000-0000-000005000000}"/>
    <dataValidation allowBlank="1" showInputMessage="1" showErrorMessage="1" prompt="Dạng xem theo lịch biểu lớp cho Chủ Nhật được tự động cập nhật bằng các mục nhập từ trang tính Danh sách Lớp" sqref="C3" xr:uid="{00000000-0002-0000-0000-000006000000}"/>
    <dataValidation allowBlank="1" showInputMessage="1" showErrorMessage="1" prompt="Dạng xem theo lịch biểu lớp cho Thứ Hai được tự động cập nhật bằng các mục nhập từ trang tính Danh sách Lớp" sqref="D3" xr:uid="{00000000-0002-0000-0000-000007000000}"/>
    <dataValidation allowBlank="1" showInputMessage="1" showErrorMessage="1" prompt="Dạng xem theo lịch biểu lớp cho Thứ Ba được tự động cập nhật bằng các mục nhập từ trang tính Danh sách Lớp" sqref="E3:F3" xr:uid="{00000000-0002-0000-0000-000008000000}"/>
    <dataValidation allowBlank="1" showInputMessage="1" showErrorMessage="1" prompt="Dạng xem theo lịch biểu lớp cho Thứ Tư được tự động cập nhật bằng các mục nhập từ trang tính Danh sách Lớp" sqref="G3" xr:uid="{00000000-0002-0000-0000-000009000000}"/>
    <dataValidation allowBlank="1" showInputMessage="1" showErrorMessage="1" prompt="Dạng xem theo lịch biểu lớp cho Thứ Sáu được tự động cập nhật bằng các mục nhập từ trang tính Danh sách Lớp" sqref="H3" xr:uid="{00000000-0002-0000-0000-00000B000000}"/>
    <dataValidation allowBlank="1" showInputMessage="1" showErrorMessage="1" prompt="Dạng xem theo lịch biểu lớp cho Thứ Bảy được tự động cập nhật bằng các mục nhập từ trang tính Danh sách Lớp" sqref="I3" xr:uid="{00000000-0002-0000-0000-00000C000000}"/>
    <dataValidation allowBlank="1" showInputMessage="1" showErrorMessage="1" prompt="Cột này được tạo dựa trên Thời gian bắt đầu trong ô G2 và Khoảng thời gian ở ô H2" sqref="B3" xr:uid="{00000000-0002-0000-0000-00000D000000}"/>
    <dataValidation allowBlank="1" showInputMessage="1" showErrorMessage="1" prompt="Liên kết dẫn hướng tới trang tính Danh sách lớp học" sqref="J1:J2" xr:uid="{00000000-0002-0000-0000-00000F000000}"/>
  </dataValidations>
  <hyperlinks>
    <hyperlink ref="J1" location="'Danh sách lớp học'!A1" tooltip="Chọn để dẫn hướng đến trang tính Danh sách lớp học" display="Class List" xr:uid="{00000000-0004-0000-0000-000000000000}"/>
  </hyperlinks>
  <printOptions horizontalCentered="1"/>
  <pageMargins left="0.25" right="0.25" top="0.75" bottom="0.75" header="0.3" footer="0.3"/>
  <pageSetup paperSize="9" fitToHeight="0" orientation="portrait" r:id="rId1"/>
  <headerFooter differentFirst="1">
    <oddFooter>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tint="-9.9978637043366805E-2"/>
    <pageSetUpPr autoPageBreaks="0" fitToPage="1"/>
  </sheetPr>
  <dimension ref="B1:H10"/>
  <sheetViews>
    <sheetView showGridLines="0" zoomScaleNormal="100" workbookViewId="0">
      <selection activeCell="E12" sqref="E12"/>
    </sheetView>
  </sheetViews>
  <sheetFormatPr defaultColWidth="9" defaultRowHeight="30" customHeight="1" x14ac:dyDescent="0.25"/>
  <cols>
    <col min="1" max="1" width="2.59765625" style="1" customWidth="1"/>
    <col min="2" max="2" width="24.3984375" style="1" customWidth="1"/>
    <col min="3" max="3" width="15.19921875" style="1" customWidth="1"/>
    <col min="4" max="4" width="18.5" style="1" customWidth="1"/>
    <col min="5" max="5" width="22.19921875" style="1" customWidth="1"/>
    <col min="6" max="6" width="24.3984375" style="1" customWidth="1"/>
    <col min="7" max="7" width="35.19921875" style="1" customWidth="1"/>
    <col min="8" max="8" width="15.09765625" style="1" hidden="1" customWidth="1"/>
    <col min="9" max="9" width="2.59765625" style="1" customWidth="1"/>
    <col min="10" max="16384" width="9" style="1"/>
  </cols>
  <sheetData>
    <row r="1" spans="2:8" ht="40.5" customHeight="1" x14ac:dyDescent="0.25">
      <c r="B1" s="12" t="s">
        <v>31</v>
      </c>
      <c r="C1" s="12"/>
      <c r="D1" s="12"/>
      <c r="E1" s="12"/>
      <c r="F1" s="12"/>
      <c r="G1" s="14" t="s">
        <v>27</v>
      </c>
      <c r="H1" s="14"/>
    </row>
    <row r="2" spans="2:8" ht="30" customHeight="1" x14ac:dyDescent="0.25">
      <c r="B2" s="3" t="s">
        <v>11</v>
      </c>
      <c r="C2" s="3" t="s">
        <v>16</v>
      </c>
      <c r="D2" s="3" t="s">
        <v>21</v>
      </c>
      <c r="E2" s="3" t="s">
        <v>22</v>
      </c>
      <c r="F2" s="3" t="s">
        <v>26</v>
      </c>
      <c r="G2" s="3" t="s">
        <v>28</v>
      </c>
      <c r="H2" s="3" t="s">
        <v>29</v>
      </c>
    </row>
    <row r="3" spans="2:8" ht="30" customHeight="1" x14ac:dyDescent="0.25">
      <c r="B3" s="7" t="s">
        <v>12</v>
      </c>
      <c r="C3" s="7" t="s">
        <v>17</v>
      </c>
      <c r="D3" s="7" t="s">
        <v>2</v>
      </c>
      <c r="E3" s="7" t="s">
        <v>23</v>
      </c>
      <c r="F3" s="4">
        <v>0.54166666666666596</v>
      </c>
      <c r="G3" s="4">
        <v>0.58333333333333337</v>
      </c>
      <c r="H3" s="2">
        <f>ROW()-ROW(Danh_sách_lớp_học[[#Headers],[DUY NHẤT]])</f>
        <v>1</v>
      </c>
    </row>
    <row r="4" spans="2:8" ht="30" customHeight="1" x14ac:dyDescent="0.25">
      <c r="B4" s="7" t="s">
        <v>12</v>
      </c>
      <c r="C4" s="7" t="s">
        <v>17</v>
      </c>
      <c r="D4" s="7" t="s">
        <v>4</v>
      </c>
      <c r="E4" s="7" t="s">
        <v>23</v>
      </c>
      <c r="F4" s="4">
        <v>0.54166666666666596</v>
      </c>
      <c r="G4" s="4">
        <v>0.58333333333333337</v>
      </c>
      <c r="H4" s="2">
        <f>ROW()-ROW(Danh_sách_lớp_học[[#Headers],[DUY NHẤT]])</f>
        <v>2</v>
      </c>
    </row>
    <row r="5" spans="2:8" ht="30" customHeight="1" x14ac:dyDescent="0.25">
      <c r="B5" s="7" t="s">
        <v>13</v>
      </c>
      <c r="C5" s="7" t="s">
        <v>18</v>
      </c>
      <c r="D5" s="7" t="s">
        <v>2</v>
      </c>
      <c r="E5" s="7" t="s">
        <v>24</v>
      </c>
      <c r="F5" s="4">
        <v>0.66666666666666663</v>
      </c>
      <c r="G5" s="4">
        <v>0.70833333333333337</v>
      </c>
      <c r="H5" s="2">
        <f>ROW()-ROW(Danh_sách_lớp_học[[#Headers],[DUY NHẤT]])</f>
        <v>3</v>
      </c>
    </row>
    <row r="6" spans="2:8" ht="30" customHeight="1" x14ac:dyDescent="0.25">
      <c r="B6" s="7" t="s">
        <v>14</v>
      </c>
      <c r="C6" s="7" t="s">
        <v>19</v>
      </c>
      <c r="D6" s="7" t="s">
        <v>3</v>
      </c>
      <c r="E6" s="7" t="s">
        <v>24</v>
      </c>
      <c r="F6" s="4">
        <v>0.45833333333333331</v>
      </c>
      <c r="G6" s="4">
        <v>0.5</v>
      </c>
      <c r="H6" s="2">
        <f>ROW()-ROW(Danh_sách_lớp_học[[#Headers],[DUY NHẤT]])</f>
        <v>4</v>
      </c>
    </row>
    <row r="7" spans="2:8" ht="30" customHeight="1" x14ac:dyDescent="0.25">
      <c r="B7" s="7" t="s">
        <v>14</v>
      </c>
      <c r="C7" s="7" t="s">
        <v>19</v>
      </c>
      <c r="D7" s="7" t="s">
        <v>6</v>
      </c>
      <c r="E7" s="7" t="s">
        <v>24</v>
      </c>
      <c r="F7" s="4">
        <v>0.45833333333333287</v>
      </c>
      <c r="G7" s="4">
        <v>0.5</v>
      </c>
      <c r="H7" s="2">
        <f>ROW()-ROW(Danh_sách_lớp_học[[#Headers],[DUY NHẤT]])</f>
        <v>5</v>
      </c>
    </row>
    <row r="8" spans="2:8" ht="30" customHeight="1" x14ac:dyDescent="0.25">
      <c r="B8" s="7" t="s">
        <v>15</v>
      </c>
      <c r="C8" s="7" t="s">
        <v>20</v>
      </c>
      <c r="D8" s="7" t="s">
        <v>2</v>
      </c>
      <c r="E8" s="7" t="s">
        <v>25</v>
      </c>
      <c r="F8" s="4">
        <v>0.34027777777777773</v>
      </c>
      <c r="G8" s="4">
        <v>0.38541666666666669</v>
      </c>
      <c r="H8" s="2">
        <f>ROW()-ROW(Danh_sách_lớp_học[[#Headers],[DUY NHẤT]])</f>
        <v>6</v>
      </c>
    </row>
    <row r="9" spans="2:8" ht="30" customHeight="1" x14ac:dyDescent="0.25">
      <c r="B9" s="7" t="s">
        <v>15</v>
      </c>
      <c r="C9" s="7" t="s">
        <v>20</v>
      </c>
      <c r="D9" s="7" t="s">
        <v>4</v>
      </c>
      <c r="E9" s="7" t="s">
        <v>25</v>
      </c>
      <c r="F9" s="4">
        <v>0.34027777777777773</v>
      </c>
      <c r="G9" s="4">
        <v>0.38541666666666669</v>
      </c>
      <c r="H9" s="2">
        <f>ROW()-ROW(Danh_sách_lớp_học[[#Headers],[DUY NHẤT]])</f>
        <v>7</v>
      </c>
    </row>
    <row r="10" spans="2:8" ht="30" customHeight="1" x14ac:dyDescent="0.25">
      <c r="B10" s="7" t="s">
        <v>15</v>
      </c>
      <c r="C10" s="7" t="s">
        <v>20</v>
      </c>
      <c r="D10" s="7" t="s">
        <v>9</v>
      </c>
      <c r="E10" s="7" t="s">
        <v>25</v>
      </c>
      <c r="F10" s="4">
        <v>0.34027777777777773</v>
      </c>
      <c r="G10" s="4">
        <v>0.38541666666666669</v>
      </c>
      <c r="H10" s="2">
        <f>ROW()-ROW(Danh_sách_lớp_học[[#Headers],[DUY NHẤT]])</f>
        <v>8</v>
      </c>
    </row>
  </sheetData>
  <mergeCells count="2">
    <mergeCell ref="B1:F1"/>
    <mergeCell ref="G1:H1"/>
  </mergeCells>
  <dataValidations count="10">
    <dataValidation allowBlank="1" showInputMessage="1" showErrorMessage="1" prompt="Liên kết dẫn hướng tới trang tính Dạng xem theo Lịch biểu Lớp" sqref="G1:H1" xr:uid="{00000000-0002-0000-0100-000000000000}"/>
    <dataValidation allowBlank="1" showInputMessage="1" showErrorMessage="1" prompt="Nhập Lớp vào cột này" sqref="B2" xr:uid="{00000000-0002-0000-0100-000001000000}"/>
    <dataValidation allowBlank="1" showInputMessage="1" showErrorMessage="1" prompt="Nhập ID lớp vào cột này" sqref="C2" xr:uid="{00000000-0002-0000-0100-000002000000}"/>
    <dataValidation allowBlank="1" showInputMessage="1" showErrorMessage="1" prompt="Nhập Ngày của lớp trong cột này. Trong mỗi ô thuộc cột này, Nhấn ALT+MŨI TÊN XUỐNG để mở danh sách thả xuống, rồi nhấn ENTER để chọn Ngày" sqref="D2" xr:uid="{00000000-0002-0000-0100-000003000000}"/>
    <dataValidation allowBlank="1" showInputMessage="1" showErrorMessage="1" prompt="Nhập Vị trí lớp vào cột này" sqref="E2" xr:uid="{00000000-0002-0000-0100-000004000000}"/>
    <dataValidation allowBlank="1" showInputMessage="1" showErrorMessage="1" prompt="Nhập Thời gian Bắt đầu lớp vào cột này" sqref="F2" xr:uid="{00000000-0002-0000-0100-000005000000}"/>
    <dataValidation allowBlank="1" showInputMessage="1" showErrorMessage="1" prompt="Nhập Thời gian Kết thúc lớp vào cột này" sqref="G2" xr:uid="{00000000-0002-0000-0100-000006000000}"/>
    <dataValidation allowBlank="1" showInputMessage="1" showErrorMessage="1" prompt="Tạo danh sách lớp để cập nhật Dạng xem theo Lịch biểu Lớp thông qua việc cập nhật bảng Danh sách Lớp. Sử dụng các bộ lọc bảng để xem lớp hoặc ngày cụ thể. Ô G1 dẫn hướng đến Dạng xem theo Lịch biểu Lớp" sqref="A1" xr:uid="{00000000-0002-0000-0100-000007000000}"/>
    <dataValidation allowBlank="1" showInputMessage="1" showErrorMessage="1" prompt="Danh sách này được sử dụng để tạo Dạng xem theo Lịch biểu Lớp trên trang tính Dạng xem theo Lịch biểu Lớp. Cập nhật bảng Danh sách Lớp bên dưới để tự động cập nhật Dạng xem theo Lịch biểu Lớp" sqref="B1:F1" xr:uid="{00000000-0002-0000-0100-000008000000}"/>
    <dataValidation type="list" errorStyle="warning" allowBlank="1" showInputMessage="1" showErrorMessage="1" error="Chọn ngày từ danh sách. Chọn HỦY BỎ, rồi nhấn ALT+MŨI TÊN XUỐNG để chọn từ danh sách thả xuống" sqref="D3:D10" xr:uid="{00000000-0002-0000-0100-000009000000}">
      <formula1>"CHỦ NHẬT,THỨ HAI,THỨ BA,THỨ TƯ,THỨ NĂM,THỨ SÁU,THỨ BẢY"</formula1>
    </dataValidation>
  </dataValidations>
  <hyperlinks>
    <hyperlink ref="G1:H1" location="'Dạng xem theo Lịch biểu Lớp'!A1" tooltip="Chọn để dẫn hướng đến trang tính Dạng xem theo Lịch biểu Lớp" display="Class Schedule" xr:uid="{00000000-0004-0000-0100-000000000000}"/>
  </hyperlinks>
  <printOptions horizontalCentered="1"/>
  <pageMargins left="0.25" right="0.25" top="0.75" bottom="0.75" header="0.3" footer="0.3"/>
  <pageSetup paperSize="9" fitToHeight="0" orientation="portrait" r:id="rId1"/>
  <headerFooter differentFirst="1">
    <oddFooter>Page &amp;P of &amp;N</oddFooter>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Template>TM03107665</Template>
  <Application>Microsoft Excel</Application>
  <DocSecurity>0</DocSecurity>
  <ScaleCrop>false</ScaleCrop>
  <HeadingPairs>
    <vt:vector size="4" baseType="variant">
      <vt:variant>
        <vt:lpstr>Trang tính</vt:lpstr>
      </vt:variant>
      <vt:variant>
        <vt:i4>2</vt:i4>
      </vt:variant>
      <vt:variant>
        <vt:lpstr>Phạm vi Có tên</vt:lpstr>
      </vt:variant>
      <vt:variant>
        <vt:i4>9</vt:i4>
      </vt:variant>
    </vt:vector>
  </HeadingPairs>
  <TitlesOfParts>
    <vt:vector size="11" baseType="lpstr">
      <vt:lpstr>Dạng xem theo Lịch biểu Lớp</vt:lpstr>
      <vt:lpstr>Danh sách lớp học</vt:lpstr>
      <vt:lpstr>BẮT_ĐẦU_LỊCH_BIỂU</vt:lpstr>
      <vt:lpstr>MinuteText</vt:lpstr>
      <vt:lpstr>'Dạng xem theo Lịch biểu Lớp'!Print_Titles</vt:lpstr>
      <vt:lpstr>'Danh sách lớp học'!Print_Titles</vt:lpstr>
      <vt:lpstr>ThisRow</vt:lpstr>
      <vt:lpstr>ThờiGian</vt:lpstr>
      <vt:lpstr>Tiêu_đề_1</vt:lpstr>
      <vt:lpstr>Tiêu_đề_Cột_2</vt:lpstr>
      <vt:lpstr>Vùng_tiêu_đề_cột..H2.1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2019-07-05T13:13:30Z</dcterms:created>
  <dcterms:modified xsi:type="dcterms:W3CDTF">2025-02-14T08:46:19Z</dcterms:modified>
  <cp:version/>
</cp:coreProperties>
</file>